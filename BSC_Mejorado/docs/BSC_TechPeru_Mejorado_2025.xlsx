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e6cb95b09044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🏠 Portada" sheetId="1" r:id="R9cbc02ec5b4e4236"/>
    <x:sheet xmlns:r="http://schemas.openxmlformats.org/officeDocument/2006/relationships" name="📊 BSC Completo" sheetId="2" r:id="Rb1763699f1c04b6b"/>
    <x:sheet xmlns:r="http://schemas.openxmlformats.org/officeDocument/2006/relationships" name="💰 Financiera" sheetId="3" r:id="R71f327287f6d4798"/>
    <x:sheet xmlns:r="http://schemas.openxmlformats.org/officeDocument/2006/relationships" name="👥 Clientes" sheetId="4" r:id="R8fddcd71d30444c2"/>
    <x:sheet xmlns:r="http://schemas.openxmlformats.org/officeDocument/2006/relationships" name="🔧 Procesos" sheetId="5" r:id="R15cca1ebf14d4a99"/>
    <x:sheet xmlns:r="http://schemas.openxmlformats.org/officeDocument/2006/relationships" name="📚 Aprendizaje" sheetId="6" r:id="Ra57eec925c614745"/>
    <x:sheet xmlns:r="http://schemas.openxmlformats.org/officeDocument/2006/relationships" name="📈 Dashboard" sheetId="7" r:id="R3bac820b8308447c"/>
  </x:sheets>
</x:workbook>
</file>

<file path=xl/sharedStrings.xml><?xml version="1.0" encoding="utf-8"?>
<x:sst xmlns:x="http://schemas.openxmlformats.org/spreadsheetml/2006/main">
  <x:si>
    <x:t xml:space="preserve">Perspectiva</x:t>
  </x:si>
  <x:si>
    <x:t xml:space="preserve">Objetivo Estratégico</x:t>
  </x:si>
  <x:si>
    <x:t xml:space="preserve">Indicador (KPI)</x:t>
  </x:si>
  <x:si>
    <x:t xml:space="preserve">Unidad</x:t>
  </x:si>
  <x:si>
    <x:t xml:space="preserve">Meta</x:t>
  </x:si>
  <x:si>
    <x:t xml:space="preserve">Real</x:t>
  </x:si>
  <x:si>
    <x:t xml:space="preserve">% Cumpl.</x:t>
  </x:si>
  <x:si>
    <x:t xml:space="preserve">Estado</x:t>
  </x:si>
  <x:si>
    <x:t xml:space="preserve">OBJ-F1: Incrementar la Rentabilidad</x:t>
  </x:si>
  <x:si>
    <x:t xml:space="preserve">ROE – Retorno sobre Patrimonio</x:t>
  </x:si>
  <x:si>
    <x:t xml:space="preserve">%</x:t>
  </x:si>
  <x:si>
    <x:t xml:space="preserve">Margen EBITDA</x:t>
  </x:si>
  <x:si>
    <x:t xml:space="preserve">Utilidad Neta Anual</x:t>
  </x:si>
  <x:si>
    <x:t xml:space="preserve">S/ MM</x:t>
  </x:si>
  <x:si>
    <x:t xml:space="preserve">OBJ-F2: Acelerar el Crecimiento de Ingresos</x:t>
  </x:si>
  <x:si>
    <x:t xml:space="preserve">Crecimiento de Ventas YoY</x:t>
  </x:si>
  <x:si>
    <x:t xml:space="preserve">Ingresos Totales Anuales</x:t>
  </x:si>
  <x:si>
    <x:t xml:space="preserve">Ingresos por Nuevos Productos</x:t>
  </x:si>
  <x:si>
    <x:t xml:space="preserve">OBJ-F3: Optimizar la Estructura de Costos</x:t>
  </x:si>
  <x:si>
    <x:t xml:space="preserve">Ratio Costo Operativo / Ingreso</x:t>
  </x:si>
  <x:si>
    <x:t xml:space="preserve">Costo de Adquisición de Cliente (CAC)</x:t>
  </x:si>
  <x:si>
    <x:t xml:space="preserve">S/</x:t>
  </x:si>
  <x:si>
    <x:t xml:space="preserve">Retorno sobre Activos (ROA)</x:t>
  </x:si>
  <x:si>
    <x:t xml:space="preserve">OBJ-C1: Maximizar la Satisfacción del Cliente</x:t>
  </x:si>
  <x:si>
    <x:t xml:space="preserve">NPS – Net Promoter Score</x:t>
  </x:si>
  <x:si>
    <x:t xml:space="preserve">pts</x:t>
  </x:si>
  <x:si>
    <x:t xml:space="preserve">CSAT – Satisfacción post-venta</x:t>
  </x:si>
  <x:si>
    <x:t xml:space="preserve">Tiempo de Resolución de Quejas</x:t>
  </x:si>
  <x:si>
    <x:t xml:space="preserve">días</x:t>
  </x:si>
  <x:si>
    <x:t xml:space="preserve">OBJ-C2: Aumentar la Retención y Fidelización</x:t>
  </x:si>
  <x:si>
    <x:t xml:space="preserve">Tasa de Retención de Clientes</x:t>
  </x:si>
  <x:si>
    <x:t xml:space="preserve">Tasa de Recompra (Repeat Purchase)</x:t>
  </x:si>
  <x:si>
    <x:t xml:space="preserve">Churn Rate (Tasa de Abandono)</x:t>
  </x:si>
  <x:si>
    <x:t xml:space="preserve">OBJ-C3: Expandir la Base de Clientes</x:t>
  </x:si>
  <x:si>
    <x:t xml:space="preserve">Nuevos Clientes Adquiridos</x:t>
  </x:si>
  <x:si>
    <x:t xml:space="preserve">#</x:t>
  </x:si>
  <x:si>
    <x:t xml:space="preserve">Cuota de Mercado</x:t>
  </x:si>
  <x:si>
    <x:t xml:space="preserve">Costo por Lead Calificado</x:t>
  </x:si>
  <x:si>
    <x:t xml:space="preserve">OBJ-P1: Excelencia en Operaciones y Calidad</x:t>
  </x:si>
  <x:si>
    <x:t xml:space="preserve">Tiempo Promedio de Entrega al Cliente</x:t>
  </x:si>
  <x:si>
    <x:t xml:space="preserve">Tasa de Defectos / Reclamos</x:t>
  </x:si>
  <x:si>
    <x:t xml:space="preserve">Productividad por Empleado</x:t>
  </x:si>
  <x:si>
    <x:t xml:space="preserve">OBJ-P2: Innovación y Desarrollo de Producto</x:t>
  </x:si>
  <x:si>
    <x:t xml:space="preserve">N° Lanzamientos de Nuevos Productos</x:t>
  </x:si>
  <x:si>
    <x:t xml:space="preserve">Time-to-Market (lanzamiento)</x:t>
  </x:si>
  <x:si>
    <x:t xml:space="preserve">semanas</x:t>
  </x:si>
  <x:si>
    <x:t xml:space="preserve">% Ingresos de Productos &lt; 2 años</x:t>
  </x:si>
  <x:si>
    <x:t xml:space="preserve">OBJ-P3: Gestión Eficiente de Proveedores</x:t>
  </x:si>
  <x:si>
    <x:t xml:space="preserve">On-Time Delivery de Proveedores (OTD)</x:t>
  </x:si>
  <x:si>
    <x:t xml:space="preserve">N° Incidencias con Proveedores</x:t>
  </x:si>
  <x:si>
    <x:t xml:space="preserve">Costo de Inventario sobre Ventas</x:t>
  </x:si>
  <x:si>
    <x:t xml:space="preserve">OBJ-A1: Desarrollar el Capital Humano</x:t>
  </x:si>
  <x:si>
    <x:t xml:space="preserve">Horas de Capacitación por Empleado</x:t>
  </x:si>
  <x:si>
    <x:t xml:space="preserve">hrs</x:t>
  </x:si>
  <x:si>
    <x:t xml:space="preserve">% Empleados con Plan de Desarrollo</x:t>
  </x:si>
  <x:si>
    <x:t xml:space="preserve">Índice de Competencias Clave Cubiertas</x:t>
  </x:si>
  <x:si>
    <x:t xml:space="preserve">OBJ-A2: Fortalecer la Cultura y el Clima</x:t>
  </x:si>
  <x:si>
    <x:t xml:space="preserve">Índice de Satisfacción del Empleado</x:t>
  </x:si>
  <x:si>
    <x:t xml:space="preserve">Rotación de Personal (Turnover)</x:t>
  </x:si>
  <x:si>
    <x:t xml:space="preserve">% Empleados con Evaluación Desempeño</x:t>
  </x:si>
  <x:si>
    <x:t xml:space="preserve">OBJ-A3: Impulsar la Innovación Organizacional</x:t>
  </x:si>
  <x:si>
    <x:t xml:space="preserve">Proyectos de Mejora Continua Activos</x:t>
  </x:si>
  <x:si>
    <x:t xml:space="preserve">% Presupuesto I+D sobre Ingresos</x:t>
  </x:si>
  <x:si>
    <x:t xml:space="preserve">Ideas Implementadas de Empleados</x:t>
  </x:si>
  <x:si>
    <x:t xml:space="preserve">Meta Anual</x:t>
  </x:si>
  <x:si>
    <x:t xml:space="preserve">Real Acum.</x:t>
  </x:si>
  <x:si>
    <x:t xml:space="preserve">Análisis / Acción Recomendada</x:t>
  </x:si>
</x:sst>
</file>

<file path=xl/styles.xml><?xml version="1.0" encoding="utf-8"?>
<x:styleSheet xmlns:x="http://schemas.openxmlformats.org/spreadsheetml/2006/main">
  <x:numFmts count="5">
    <x:numFmt numFmtId="164" formatCode="#,##0.0"/>
    <x:numFmt numFmtId="165" formatCode="0.0\%"/>
    <x:numFmt numFmtId="200" formatCode="0.0%"/>
    <x:numFmt numFmtId="201" formatCode="#,##0.00"/>
    <x:numFmt numFmtId="202" formatCode="0.##"/>
  </x:numFmts>
  <x:fonts count="73">
    <x:font>
      <x:sz val="11"/>
      <x:color theme="1"/>
      <x:name val="Calibri"/>
      <x:family val="2"/>
    </x:font>
    <x:font>
      <x:b/>
      <x:sz val="16"/>
      <x:color rgb="FFFFFFFF"/>
      <x:name val="Arial"/>
      <x:family val="2"/>
    </x:font>
    <x:font>
      <x:b/>
      <x:sz val="11"/>
      <x:color rgb="FFFFFFFF"/>
      <x:name val="Arial"/>
      <x:family val="2"/>
    </x:font>
    <x:font>
      <x:b/>
      <x:sz val="10"/>
      <x:color rgb="FF1F3864"/>
      <x:name val="Arial"/>
      <x:family val="2"/>
    </x:font>
    <x:font>
      <x:b/>
      <x:sz val="10"/>
      <x:color rgb="FF1F4E79"/>
      <x:name val="Arial"/>
      <x:family val="2"/>
    </x:font>
    <x:font>
      <x:sz val="10"/>
      <x:color rgb="FF444444"/>
      <x:name val="Arial"/>
      <x:family val="2"/>
    </x:font>
    <x:font>
      <x:i/>
      <x:sz val="9"/>
      <x:color rgb="FF444444"/>
      <x:name val="Arial"/>
      <x:family val="2"/>
    </x:font>
    <x:font>
      <x:b/>
      <x:sz val="13"/>
      <x:color rgb="FFFFFFFF"/>
      <x:name val="Arial"/>
      <x:family val="2"/>
    </x:font>
    <x:font>
      <x:b/>
      <x:sz val="9"/>
      <x:color rgb="FFFFFFFF"/>
      <x:name val="Arial"/>
      <x:family val="2"/>
    </x:font>
    <x:font>
      <x:b/>
      <x:sz val="8"/>
      <x:color rgb="FF1F4E79"/>
      <x:name val="Arial"/>
      <x:family val="2"/>
    </x:font>
    <x:font>
      <x:sz val="9"/>
      <x:color rgb="FF000000"/>
      <x:name val="Arial"/>
      <x:family val="2"/>
    </x:font>
    <x:font>
      <x:sz val="9"/>
      <x:color rgb="FF555555"/>
      <x:name val="Arial"/>
      <x:family val="2"/>
    </x:font>
    <x:font>
      <x:sz val="9"/>
      <x:color rgb="FF0000FF"/>
      <x:name val="Arial"/>
      <x:family val="2"/>
    </x:font>
    <x:font>
      <x:b/>
      <x:sz val="9"/>
      <x:color rgb="FF000000"/>
      <x:name val="Arial"/>
      <x:family val="2"/>
    </x:font>
    <x:font>
      <x:b/>
      <x:sz val="8"/>
      <x:color rgb="FF1A5E35"/>
      <x:name val="Arial"/>
      <x:family val="2"/>
    </x:font>
    <x:font>
      <x:b/>
      <x:sz val="8"/>
      <x:color rgb="FF7B3F00"/>
      <x:name val="Arial"/>
      <x:family val="2"/>
    </x:font>
    <x:font>
      <x:b/>
      <x:sz val="8"/>
      <x:color rgb="FF4B0082"/>
      <x:name val="Arial"/>
      <x:family val="2"/>
    </x:font>
    <x:font>
      <x:b/>
      <x:sz val="10"/>
      <x:color rgb="FFFFFFFF"/>
      <x:name val="Arial"/>
      <x:family val="2"/>
    </x:font>
    <x:font>
      <x:b/>
      <x:sz val="10"/>
      <x:color rgb="FF5C4000"/>
      <x:name val="Arial"/>
      <x:family val="2"/>
    </x:font>
    <x:font>
      <x:b/>
      <x:sz val="9"/>
      <x:color rgb="FF1F4E79"/>
      <x:name val="Arial"/>
      <x:family val="2"/>
    </x:font>
    <x:font>
      <x:b/>
      <x:sz val="10"/>
      <x:color rgb="FF000000"/>
      <x:name val="Arial"/>
      <x:family val="2"/>
    </x:font>
    <x:font>
      <x:i/>
      <x:sz val="8"/>
      <x:color rgb="FF333333"/>
      <x:name val="Arial"/>
      <x:family val="2"/>
    </x:font>
    <x:font>
      <x:i/>
      <x:sz val="8"/>
      <x:color rgb="FF777777"/>
      <x:name val="Arial"/>
      <x:family val="2"/>
    </x:font>
    <x:font>
      <x:b/>
      <x:sz val="9"/>
      <x:color rgb="FF1A5E35"/>
      <x:name val="Arial"/>
      <x:family val="2"/>
    </x:font>
    <x:font>
      <x:b/>
      <x:sz val="9"/>
      <x:color rgb="FF7B3F00"/>
      <x:name val="Arial"/>
      <x:family val="2"/>
    </x:font>
    <x:font>
      <x:b/>
      <x:sz val="9"/>
      <x:color rgb="FF4B0082"/>
      <x:name val="Arial"/>
      <x:family val="2"/>
    </x:font>
    <x:font>
      <x:b/>
      <x:sz val="14"/>
      <x:color rgb="FFFFFFFF"/>
      <x:name val="Arial"/>
      <x:family val="2"/>
    </x:font>
    <x:font>
      <x:b/>
      <x:sz val="8"/>
      <x:color rgb="FFFFFFFF"/>
      <x:name val="Arial"/>
      <x:family val="2"/>
    </x:font>
    <x:font>
      <x:sz val="8"/>
      <x:color rgb="FF000000"/>
      <x:name val="Arial"/>
      <x:family val="2"/>
    </x:font>
    <x:font>
      <x:b/>
      <x:sz val="8"/>
      <x:color rgb="FF000000"/>
      <x:name val="Arial"/>
      <x:family val="2"/>
    </x:font>
    <x:font>
      <x:b/>
      <x:sz val="12"/>
      <x:color rgb="FFFFFFFF"/>
      <x:name val="Arial"/>
      <x:family val="2"/>
    </x:font>
    <x:font>
      <x:b/>
      <x:sz val="14"/>
      <x:color rgb="FF3A2000"/>
      <x:name val="Arial"/>
      <x:family val="2"/>
    </x:font>
    <x:font>
      <x:i/>
      <x:sz val="8"/>
      <x:color rgb="FF666666"/>
      <x:name val="Arial"/>
      <x:family val="2"/>
    </x:font>
    <x:font>
      <x:sz val="11"/>
      <x:color theme="1"/>
      <x:name val="Arial"/>
      <x:family val="2"/>
    </x:font>
    <x:font>
      <x:b/>
      <x:sz val="11"/>
      <x:color rgb="FFFFFFFF"/>
      <x:name val="Calibri"/>
      <x:family val="2"/>
    </x:font>
    <x:font>
      <x:sz val="9"/>
      <x:color rgb="FF1D4ED8"/>
      <x:name val="Arial"/>
      <x:family val="2"/>
    </x:font>
    <x:font>
      <x:sz val="11"/>
      <x:color rgb="FF1D4ED8"/>
      <x:name val="Arial"/>
      <x:family val="2"/>
    </x:font>
    <x:font>
      <x:sz val="9"/>
      <x:color rgb="FF166534"/>
      <x:name val="Arial"/>
      <x:family val="2"/>
    </x:font>
    <x:font>
      <x:i/>
      <x:sz val="11"/>
      <x:color rgb="FF475569"/>
      <x:name val="Calibri"/>
      <x:family val="2"/>
    </x:font>
    <x:font>
      <x:sz val="10"/>
      <x:color rgb="FF1E293B"/>
      <x:name val="Arial"/>
      <x:family val="2"/>
    </x:font>
    <x:font>
      <x:b/>
      <x:sz val="16"/>
      <x:color rgb="FF1E293B"/>
      <x:name val="Arial"/>
      <x:family val="2"/>
    </x:font>
    <x:font>
      <x:sz val="24"/>
      <x:color rgb="FF1E293B"/>
      <x:name val="Arial"/>
      <x:family val="2"/>
    </x:font>
    <x:font>
      <x:i/>
      <x:sz val="11"/>
      <x:color rgb="FF475569"/>
      <x:name val="Arial"/>
      <x:family val="2"/>
    </x:font>
    <x:font>
      <x:sz val="11"/>
      <x:color rgb="FF183C35"/>
      <x:name val="Arial"/>
      <x:family val="2"/>
    </x:font>
    <x:font>
      <x:b/>
      <x:sz val="11"/>
      <x:color rgb="FF667D75"/>
      <x:name val="Arial"/>
      <x:family val="2"/>
    </x:font>
    <x:font>
      <x:b/>
      <x:sz val="26"/>
      <x:color rgb="FF183C35"/>
      <x:name val="Arial"/>
      <x:family val="2"/>
    </x:font>
    <x:font>
      <x:sz val="13"/>
      <x:color rgb="FF667D75"/>
      <x:name val="Arial"/>
      <x:family val="2"/>
    </x:font>
    <x:font>
      <x:b/>
      <x:sz val="12"/>
      <x:color rgb="FF183C35"/>
      <x:name val="Arial"/>
      <x:family val="2"/>
    </x:font>
    <x:font>
      <x:b/>
      <x:sz val="14"/>
      <x:color rgb="FF183C35"/>
      <x:name val="Arial"/>
      <x:family val="2"/>
    </x:font>
    <x:font>
      <x:b/>
      <x:sz val="11"/>
      <x:color rgb="FF183C35"/>
      <x:name val="Arial"/>
      <x:family val="2"/>
    </x:font>
    <x:font>
      <x:sz val="10"/>
      <x:color rgb="FF667D75"/>
      <x:name val="Arial"/>
      <x:family val="2"/>
    </x:font>
    <x:font>
      <x:b/>
      <x:sz val="16"/>
      <x:color rgb="FF183C35"/>
      <x:name val="Arial"/>
      <x:family val="2"/>
    </x:font>
    <x:font>
      <x:b/>
      <x:sz val="10"/>
      <x:color rgb="FF183C35"/>
      <x:name val="Arial"/>
      <x:family val="2"/>
    </x:font>
    <x:font>
      <x:sz val="11"/>
      <x:color rgb="FF225CAA"/>
      <x:name val="Arial"/>
      <x:family val="2"/>
    </x:font>
    <x:font>
      <x:i/>
      <x:sz val="11"/>
      <x:color rgb="FF183C35"/>
      <x:name val="Arial"/>
      <x:family val="2"/>
    </x:font>
    <x:font>
      <x:i/>
      <x:sz val="11"/>
      <x:color rgb="FF667D75"/>
      <x:name val="Arial"/>
      <x:family val="2"/>
    </x:font>
    <x:font>
      <x:sz val="11"/>
      <x:color rgb="FF667D75"/>
      <x:name val="Arial"/>
      <x:family val="2"/>
    </x:font>
    <x:font>
      <x:i/>
      <x:sz val="10"/>
      <x:color rgb="FF667D75"/>
      <x:name val="Arial"/>
      <x:family val="2"/>
    </x:font>
    <x:font>
      <x:b/>
      <x:sz val="20"/>
      <x:color rgb="FF183C35"/>
      <x:name val="Arial"/>
      <x:family val="2"/>
    </x:font>
    <x:font>
      <x:sz val="11"/>
      <x:color rgb="FF667D75"/>
      <x:name val="Arial"/>
      <x:family val="2"/>
    </x:font>
    <x:font>
      <x:sz val="11"/>
      <x:color rgb="FFFFFFFF"/>
      <x:name val="Arial"/>
      <x:family val="2"/>
    </x:font>
    <x:font>
      <x:b/>
      <x:sz val="28"/>
      <x:color rgb="FFFFFFFF"/>
      <x:name val="Arial"/>
      <x:family val="2"/>
    </x:font>
    <x:font>
      <x:b/>
      <x:sz val="28"/>
      <x:color rgb="FF183C35"/>
      <x:name val="Arial"/>
      <x:family val="2"/>
    </x:font>
    <x:font>
      <x:b/>
      <x:sz val="14"/>
      <x:color rgb="FF99611B"/>
      <x:name val="Arial"/>
      <x:family val="2"/>
    </x:font>
    <x:font>
      <x:sz val="10"/>
      <x:color rgb="FFD1E6D9"/>
      <x:name val="Arial"/>
      <x:family val="2"/>
    </x:font>
    <x:font>
      <x:sz val="10"/>
      <x:color rgb="FF99611B"/>
      <x:name val="Arial"/>
      <x:family val="2"/>
    </x:font>
    <x:font>
      <x:sz val="10"/>
      <x:color rgb="FF9A3C3C"/>
      <x:name val="Arial"/>
      <x:family val="2"/>
    </x:font>
    <x:font>
      <x:b/>
      <x:sz val="28"/>
      <x:color rgb="FF9A3C3C"/>
      <x:name val="Arial"/>
      <x:family val="2"/>
    </x:font>
    <x:font>
      <x:b/>
      <x:sz val="11"/>
      <x:color rgb="FF2E6F91"/>
      <x:name val="Arial"/>
      <x:family val="2"/>
    </x:font>
    <x:font>
      <x:b/>
      <x:sz val="11"/>
      <x:color rgb="FF23715A"/>
      <x:name val="Arial"/>
      <x:family val="2"/>
    </x:font>
    <x:font>
      <x:b/>
      <x:sz val="11"/>
      <x:color rgb="FFA46E2B"/>
      <x:name val="Arial"/>
      <x:family val="2"/>
    </x:font>
    <x:font>
      <x:b/>
      <x:sz val="11"/>
      <x:color rgb="FF796297"/>
      <x:name val="Arial"/>
      <x:family val="2"/>
    </x:font>
    <x:font>
      <x:b/>
      <x:sz val="13"/>
      <x:color rgb="FF183C35"/>
      <x:name val="Arial"/>
      <x:family val="2"/>
    </x:font>
  </x:fonts>
  <x:fills count="39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F75B6"/>
      </x:patternFill>
    </x:fill>
    <x:fill>
      <x:patternFill patternType="solid">
        <x:fgColor rgb="FF1F4E79"/>
      </x:patternFill>
    </x:fill>
    <x:fill>
      <x:patternFill patternType="solid">
        <x:fgColor rgb="FFD6E4F0"/>
      </x:patternFill>
    </x:fill>
    <x:fill>
      <x:patternFill patternType="solid">
        <x:fgColor rgb="FFEBF3FA"/>
      </x:patternFill>
    </x:fill>
    <x:fill>
      <x:patternFill patternType="solid">
        <x:fgColor rgb="FF1A5E35"/>
      </x:patternFill>
    </x:fill>
    <x:fill>
      <x:patternFill patternType="solid">
        <x:fgColor rgb="FFD5EDDC"/>
      </x:patternFill>
    </x:fill>
    <x:fill>
      <x:patternFill patternType="solid">
        <x:fgColor rgb="FFEAF6EE"/>
      </x:patternFill>
    </x:fill>
    <x:fill>
      <x:patternFill patternType="solid">
        <x:fgColor rgb="FF7B3F00"/>
      </x:patternFill>
    </x:fill>
    <x:fill>
      <x:patternFill patternType="solid">
        <x:fgColor rgb="FFFAE6CC"/>
      </x:patternFill>
    </x:fill>
    <x:fill>
      <x:patternFill patternType="solid">
        <x:fgColor rgb="FFFDF3E5"/>
      </x:patternFill>
    </x:fill>
    <x:fill>
      <x:patternFill patternType="solid">
        <x:fgColor rgb="FF4B0082"/>
      </x:patternFill>
    </x:fill>
    <x:fill>
      <x:patternFill patternType="solid">
        <x:fgColor rgb="FFE8DAFF"/>
      </x:patternFill>
    </x:fill>
    <x:fill>
      <x:patternFill patternType="solid">
        <x:fgColor rgb="FFF4EEFF"/>
      </x:patternFill>
    </x:fill>
    <x:fill>
      <x:patternFill patternType="solid">
        <x:fgColor rgb="FFFFEB9C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203864"/>
      </x:patternFill>
    </x:fill>
    <x:fill>
      <x:patternFill patternType="solid">
        <x:fgColor rgb="FFEFF6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5F8F6"/>
      </x:patternFill>
    </x:fill>
    <x:fill>
      <x:patternFill patternType="solid">
        <x:fgColor rgb="FF2E6F91"/>
      </x:patternFill>
    </x:fill>
    <x:fill>
      <x:patternFill patternType="solid">
        <x:fgColor rgb="FFEAF2F7"/>
      </x:patternFill>
    </x:fill>
    <x:fill>
      <x:patternFill patternType="solid">
        <x:fgColor rgb="FF23715A"/>
      </x:patternFill>
    </x:fill>
    <x:fill>
      <x:patternFill patternType="solid">
        <x:fgColor rgb="FFEAF4EE"/>
      </x:patternFill>
    </x:fill>
    <x:fill>
      <x:patternFill patternType="solid">
        <x:fgColor rgb="FFA46E2B"/>
      </x:patternFill>
    </x:fill>
    <x:fill>
      <x:patternFill patternType="solid">
        <x:fgColor rgb="FFFCF2E4"/>
      </x:patternFill>
    </x:fill>
    <x:fill>
      <x:patternFill patternType="solid">
        <x:fgColor rgb="FF796297"/>
      </x:patternFill>
    </x:fill>
    <x:fill>
      <x:patternFill patternType="solid">
        <x:fgColor rgb="FFF1ECF7"/>
      </x:patternFill>
    </x:fill>
    <x:fill>
      <x:patternFill patternType="solid">
        <x:fgColor rgb="FF183C35"/>
      </x:patternFill>
    </x:fill>
    <x:fill>
      <x:patternFill patternType="solid">
        <x:fgColor rgb="FFEAF3FC"/>
      </x:patternFill>
    </x:fill>
    <x:fill>
      <x:patternFill patternType="solid">
        <x:fgColor rgb="FFF0F4F2"/>
      </x:patternFill>
    </x:fill>
    <x:fill>
      <x:patternFill patternType="solid">
        <x:fgColor rgb="FFEDF5F0"/>
      </x:patternFill>
    </x:fill>
    <x:fill>
      <x:patternFill patternType="solid">
        <x:fgColor rgb="FFFFF4DF"/>
      </x:patternFill>
    </x:fill>
    <x:fill>
      <x:patternFill patternType="solid">
        <x:fgColor rgb="FFFBECEC"/>
      </x:patternFill>
    </x:fill>
    <x:fill>
      <x:patternFill patternType="solid">
        <x:fgColor rgb="FFF3F7F4"/>
      </x:patternFill>
    </x:fill>
  </x:fills>
  <x:borders count="19">
    <x:border>
      <x:left/>
      <x:right/>
      <x:top/>
      <x:bottom/>
      <x:diagonal/>
    </x:border>
    <x:border>
      <x:left style="thin">
        <x:color rgb="FF777777"/>
      </x:left>
      <x:right/>
      <x:top style="thin">
        <x:color rgb="FF777777"/>
      </x:top>
      <x:bottom style="thin">
        <x:color rgb="FF777777"/>
      </x:bottom>
      <x:diagonal/>
    </x:border>
    <x:border>
      <x:left style="thin">
        <x:color rgb="FF555555"/>
      </x:left>
      <x:right style="thin">
        <x:color rgb="FF555555"/>
      </x:right>
      <x:top style="thin">
        <x:color rgb="FF555555"/>
      </x:top>
      <x:bottom style="thin">
        <x:color rgb="FF555555"/>
      </x:bottom>
      <x:diagonal/>
    </x:border>
    <x:border>
      <x:left style="thin">
        <x:color rgb="FF555555"/>
      </x:left>
      <x:right style="thin">
        <x:color rgb="FF555555"/>
      </x:right>
      <x:top style="thin">
        <x:color rgb="FF555555"/>
      </x:top>
      <x:bottom/>
      <x:diagonal/>
    </x:border>
    <x:border>
      <x:left style="thin">
        <x:color rgb="FF999999"/>
      </x:left>
      <x:right style="thin">
        <x:color rgb="FF999999"/>
      </x:right>
      <x:top style="thin">
        <x:color rgb="FF999999"/>
      </x:top>
      <x:bottom/>
      <x:diagonal/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  <x:diagonal/>
    </x:border>
    <x:border>
      <x:left style="thin">
        <x:color rgb="FF444444"/>
      </x:left>
      <x:right/>
      <x:top style="thin">
        <x:color rgb="FF444444"/>
      </x:top>
      <x:bottom style="thin">
        <x:color rgb="FF444444"/>
      </x:bottom>
      <x:diagonal/>
    </x:border>
    <x:border>
      <x:left style="thin">
        <x:color rgb="FF999999"/>
      </x:left>
      <x:right/>
      <x:top style="thin">
        <x:color rgb="FF999999"/>
      </x:top>
      <x:bottom style="thin">
        <x:color rgb="FF999999"/>
      </x:bottom>
      <x:diagonal/>
    </x:border>
    <x:border>
      <x:left style="thin">
        <x:color rgb="FF444444"/>
      </x:left>
      <x:right style="thin">
        <x:color rgb="FF444444"/>
      </x:right>
      <x:top style="thin">
        <x:color rgb="FF444444"/>
      </x:top>
      <x:bottom style="thin">
        <x:color rgb="FF444444"/>
      </x:bottom>
      <x:diagonal/>
    </x:border>
    <x:border>
      <x:left style="thin">
        <x:color rgb="FF888888"/>
      </x:left>
      <x:right style="thin">
        <x:color rgb="FF888888"/>
      </x:right>
      <x:top style="thin">
        <x:color rgb="FF888888"/>
      </x:top>
      <x:bottom/>
      <x:diagonal/>
    </x:border>
    <x:border>
      <x:left style="thin">
        <x:color rgb="FF555555"/>
      </x:left>
      <x:right/>
      <x:top style="thin">
        <x:color rgb="FF555555"/>
      </x:top>
      <x:bottom style="thin">
        <x:color rgb="FF555555"/>
      </x:bottom>
      <x:diagonal/>
    </x:border>
    <x:border>
      <x:left style="thin">
        <x:color rgb="FF888888"/>
      </x:left>
      <x:right style="thin">
        <x:color rgb="FF888888"/>
      </x:right>
      <x:top style="thin">
        <x:color rgb="FF888888"/>
      </x:top>
      <x:bottom style="thin">
        <x:color rgb="FF888888"/>
      </x:bottom>
      <x:diagonal/>
    </x:border>
    <x:border>
      <x:left style="thin">
        <x:color rgb="FF777777"/>
      </x:left>
      <x:right style="thin">
        <x:color rgb="FFCCCCCC"/>
      </x:right>
      <x:top style="thin">
        <x:color rgb="FF777777"/>
      </x:top>
      <x:bottom style="thin">
        <x:color rgb="FF777777"/>
      </x:bottom>
      <x:diagonal/>
    </x:border>
    <x:border>
      <x:left style="thin">
        <x:color rgb="FF888888"/>
      </x:left>
      <x:right/>
      <x:top style="thin">
        <x:color rgb="FF888888"/>
      </x:top>
      <x:bottom style="thin">
        <x:color rgb="FF888888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183C35"/>
      </x:left>
      <x:right style="thin">
        <x:color rgb="FF183C35"/>
      </x:right>
      <x:top style="thin">
        <x:color rgb="FF183C35"/>
      </x:top>
      <x:bottom style="thin">
        <x:color rgb="FF183C35"/>
      </x:bottom>
      <x:diagonal/>
    </x:border>
    <x:border>
      <x:left style="thin">
        <x:color rgb="FFEDF5F0"/>
      </x:left>
      <x:right style="thin">
        <x:color rgb="FFEDF5F0"/>
      </x:right>
      <x:top style="thin">
        <x:color rgb="FFEDF5F0"/>
      </x:top>
      <x:bottom style="thin">
        <x:color rgb="FFEDF5F0"/>
      </x:bottom>
      <x:diagonal/>
    </x:border>
    <x:border>
      <x:left style="thin">
        <x:color rgb="FFFFF4DF"/>
      </x:left>
      <x:right style="thin">
        <x:color rgb="FFFFF4DF"/>
      </x:right>
      <x:top style="thin">
        <x:color rgb="FFFFF4DF"/>
      </x:top>
      <x:bottom style="thin">
        <x:color rgb="FFFFF4DF"/>
      </x:bottom>
      <x:diagonal/>
    </x:border>
    <x:border>
      <x:left style="thin">
        <x:color rgb="FFFBECEC"/>
      </x:left>
      <x:right style="thin">
        <x:color rgb="FFFBECEC"/>
      </x:right>
      <x:top style="thin">
        <x:color rgb="FFFBECEC"/>
      </x:top>
      <x:bottom style="thin">
        <x:color rgb="FFFBECEC"/>
      </x:bottom>
      <x:diagonal/>
    </x:border>
  </x:borders>
  <x:cellStyleXfs count="1">
    <x:xf numFmtId="0" fontId="0" fillId="0" borderId="0"/>
  </x:cellStyleXfs>
  <x:cellXfs count="610">
    <x:xf numFmtId="0" fontId="0" fillId="0" borderId="0" xfId="0"/>
    <x:xf numFmtId="0" fontId="15" fillId="11" borderId="4" xfId="0" applyFont="1" applyFill="1" applyBorder="1" applyAlignment="1">
      <x:alignment horizontal="center" vertical="center" wrapText="1"/>
    </x:xf>
    <x:xf numFmtId="0" fontId="8" fillId="10" borderId="3" xfId="0" applyFont="1" applyFill="1" applyBorder="1" applyAlignment="1">
      <x:alignment horizontal="center" vertical="center" wrapText="1"/>
    </x:xf>
    <x:xf numFmtId="0" fontId="14" fillId="9" borderId="4" xfId="0" applyFont="1" applyFill="1" applyBorder="1" applyAlignment="1">
      <x:alignment horizontal="center" vertical="center" wrapText="1"/>
    </x:xf>
    <x:xf numFmtId="0" fontId="14" fillId="8" borderId="4" xfId="0" applyFont="1" applyFill="1" applyBorder="1" applyAlignment="1">
      <x:alignment horizontal="center" vertical="center" wrapText="1"/>
    </x:xf>
    <x:xf numFmtId="0" fontId="8" fillId="7" borderId="3" xfId="0" applyFont="1" applyFill="1" applyBorder="1" applyAlignment="1">
      <x:alignment horizontal="center" vertical="center" wrapText="1"/>
    </x:xf>
    <x:xf numFmtId="0" fontId="9" fillId="6" borderId="4" xfId="0" applyFont="1" applyFill="1" applyBorder="1" applyAlignment="1">
      <x:alignment horizontal="center" vertical="center" wrapText="1"/>
    </x:xf>
    <x:xf numFmtId="0" fontId="9" fillId="5" borderId="4" xfId="0" applyFont="1" applyFill="1" applyBorder="1" applyAlignment="1">
      <x:alignment horizontal="center" vertical="center" wrapText="1"/>
    </x:xf>
    <x:xf numFmtId="0" fontId="8" fillId="4" borderId="3" xfId="0" applyFont="1" applyFill="1" applyBorder="1" applyAlignment="1">
      <x:alignment horizontal="center" vertical="center" wrapText="1"/>
    </x:xf>
    <x:xf numFmtId="0" fontId="7" fillId="2" borderId="1" xfId="0" applyFont="1" applyFill="1" applyBorder="1" applyAlignment="1">
      <x:alignment horizontal="center" vertical="center" wrapText="1"/>
    </x:xf>
    <x:xf numFmtId="0" fontId="6" fillId="0" borderId="0" xfId="0" applyFont="1" applyBorder="1"/>
    <x:xf numFmtId="0" fontId="3" fillId="0" borderId="0" xfId="0" applyFont="1" applyBorder="1"/>
    <x:xf numFmtId="0" fontId="3" fillId="0" borderId="0" xfId="0" applyFont="1" applyBorder="1" applyAlignment="1">
      <x:alignment horizontal="left" vertical="center"/>
    </x:xf>
    <x:xf numFmtId="0" fontId="2" fillId="3" borderId="1" xfId="0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 vertical="center" wrapText="1"/>
    </x:xf>
    <x:xf numFmtId="0" fontId="4" fillId="0" borderId="0" xfId="0" applyFont="1"/>
    <x:xf numFmtId="0" fontId="5" fillId="0" borderId="0" xfId="0" applyFont="1"/>
    <x:xf numFmtId="0" fontId="8" fillId="3" borderId="2" xfId="0" applyFont="1" applyFill="1" applyBorder="1" applyAlignment="1">
      <x:alignment horizontal="center" vertical="center"/>
    </x:xf>
    <x:xf numFmtId="0" fontId="10" fillId="5" borderId="5" xfId="0" applyFont="1" applyFill="1" applyBorder="1" applyAlignment="1">
      <x:alignment horizontal="left" vertical="center" wrapText="1"/>
    </x:xf>
    <x:xf numFmtId="0" fontId="11" fillId="5" borderId="5" xfId="0" applyFont="1" applyFill="1" applyBorder="1" applyAlignment="1">
      <x:alignment horizontal="center" vertical="center"/>
    </x:xf>
    <x:xf numFmtId="164" fontId="12" fillId="5" borderId="5" xfId="0" applyNumberFormat="1" applyFont="1" applyFill="1" applyBorder="1" applyAlignment="1">
      <x:alignment horizontal="center" vertical="center"/>
    </x:xf>
    <x:xf numFmtId="165" fontId="13" fillId="5" borderId="5" xfId="0" applyNumberFormat="1" applyFont="1" applyFill="1" applyBorder="1" applyAlignment="1">
      <x:alignment horizontal="center" vertical="center"/>
    </x:xf>
    <x:xf numFmtId="0" fontId="13" fillId="5" borderId="5" xfId="0" applyFont="1" applyFill="1" applyBorder="1" applyAlignment="1">
      <x:alignment horizontal="center" vertical="center"/>
    </x:xf>
    <x:xf numFmtId="0" fontId="10" fillId="6" borderId="5" xfId="0" applyFont="1" applyFill="1" applyBorder="1" applyAlignment="1">
      <x:alignment horizontal="left" vertical="center" wrapText="1"/>
    </x:xf>
    <x:xf numFmtId="0" fontId="11" fillId="6" borderId="5" xfId="0" applyFont="1" applyFill="1" applyBorder="1" applyAlignment="1">
      <x:alignment horizontal="center" vertical="center"/>
    </x:xf>
    <x:xf numFmtId="164" fontId="12" fillId="6" borderId="5" xfId="0" applyNumberFormat="1" applyFont="1" applyFill="1" applyBorder="1" applyAlignment="1">
      <x:alignment horizontal="center" vertical="center"/>
    </x:xf>
    <x:xf numFmtId="165" fontId="13" fillId="6" borderId="5" xfId="0" applyNumberFormat="1" applyFont="1" applyFill="1" applyBorder="1" applyAlignment="1">
      <x:alignment horizontal="center" vertical="center"/>
    </x:xf>
    <x:xf numFmtId="0" fontId="13" fillId="6" borderId="5" xfId="0" applyFont="1" applyFill="1" applyBorder="1" applyAlignment="1">
      <x:alignment horizontal="center" vertical="center"/>
    </x:xf>
    <x:xf numFmtId="0" fontId="10" fillId="8" borderId="5" xfId="0" applyFont="1" applyFill="1" applyBorder="1" applyAlignment="1">
      <x:alignment horizontal="left" vertical="center" wrapText="1"/>
    </x:xf>
    <x:xf numFmtId="0" fontId="11" fillId="8" borderId="5" xfId="0" applyFont="1" applyFill="1" applyBorder="1" applyAlignment="1">
      <x:alignment horizontal="center" vertical="center"/>
    </x:xf>
    <x:xf numFmtId="164" fontId="12" fillId="8" borderId="5" xfId="0" applyNumberFormat="1" applyFont="1" applyFill="1" applyBorder="1" applyAlignment="1">
      <x:alignment horizontal="center" vertical="center"/>
    </x:xf>
    <x:xf numFmtId="165" fontId="13" fillId="8" borderId="5" xfId="0" applyNumberFormat="1" applyFont="1" applyFill="1" applyBorder="1" applyAlignment="1">
      <x:alignment horizontal="center" vertical="center"/>
    </x:xf>
    <x:xf numFmtId="0" fontId="13" fillId="8" borderId="5" xfId="0" applyFont="1" applyFill="1" applyBorder="1" applyAlignment="1">
      <x:alignment horizontal="center" vertical="center"/>
    </x:xf>
    <x:xf numFmtId="0" fontId="10" fillId="9" borderId="5" xfId="0" applyFont="1" applyFill="1" applyBorder="1" applyAlignment="1">
      <x:alignment horizontal="left" vertical="center" wrapText="1"/>
    </x:xf>
    <x:xf numFmtId="0" fontId="11" fillId="9" borderId="5" xfId="0" applyFont="1" applyFill="1" applyBorder="1" applyAlignment="1">
      <x:alignment horizontal="center" vertical="center"/>
    </x:xf>
    <x:xf numFmtId="164" fontId="12" fillId="9" borderId="5" xfId="0" applyNumberFormat="1" applyFont="1" applyFill="1" applyBorder="1" applyAlignment="1">
      <x:alignment horizontal="center" vertical="center"/>
    </x:xf>
    <x:xf numFmtId="165" fontId="13" fillId="9" borderId="5" xfId="0" applyNumberFormat="1" applyFont="1" applyFill="1" applyBorder="1" applyAlignment="1">
      <x:alignment horizontal="center" vertical="center"/>
    </x:xf>
    <x:xf numFmtId="0" fontId="13" fillId="9" borderId="5" xfId="0" applyFont="1" applyFill="1" applyBorder="1" applyAlignment="1">
      <x:alignment horizontal="center" vertical="center"/>
    </x:xf>
    <x:xf numFmtId="0" fontId="10" fillId="11" borderId="5" xfId="0" applyFont="1" applyFill="1" applyBorder="1" applyAlignment="1">
      <x:alignment horizontal="left" vertical="center" wrapText="1"/>
    </x:xf>
    <x:xf numFmtId="0" fontId="11" fillId="11" borderId="5" xfId="0" applyFont="1" applyFill="1" applyBorder="1" applyAlignment="1">
      <x:alignment horizontal="center" vertical="center"/>
    </x:xf>
    <x:xf numFmtId="164" fontId="12" fillId="11" borderId="5" xfId="0" applyNumberFormat="1" applyFont="1" applyFill="1" applyBorder="1" applyAlignment="1">
      <x:alignment horizontal="center" vertical="center"/>
    </x:xf>
    <x:xf numFmtId="165" fontId="13" fillId="11" borderId="5" xfId="0" applyNumberFormat="1" applyFont="1" applyFill="1" applyBorder="1" applyAlignment="1">
      <x:alignment horizontal="center" vertical="center"/>
    </x:xf>
    <x:xf numFmtId="0" fontId="13" fillId="11" borderId="5" xfId="0" applyFont="1" applyFill="1" applyBorder="1" applyAlignment="1">
      <x:alignment horizontal="center" vertical="center"/>
    </x:xf>
    <x:xf numFmtId="0" fontId="10" fillId="12" borderId="5" xfId="0" applyFont="1" applyFill="1" applyBorder="1" applyAlignment="1">
      <x:alignment horizontal="left" vertical="center" wrapText="1"/>
    </x:xf>
    <x:xf numFmtId="0" fontId="11" fillId="12" borderId="5" xfId="0" applyFont="1" applyFill="1" applyBorder="1" applyAlignment="1">
      <x:alignment horizontal="center" vertical="center"/>
    </x:xf>
    <x:xf numFmtId="164" fontId="12" fillId="12" borderId="5" xfId="0" applyNumberFormat="1" applyFont="1" applyFill="1" applyBorder="1" applyAlignment="1">
      <x:alignment horizontal="center" vertical="center"/>
    </x:xf>
    <x:xf numFmtId="165" fontId="13" fillId="12" borderId="5" xfId="0" applyNumberFormat="1" applyFont="1" applyFill="1" applyBorder="1" applyAlignment="1">
      <x:alignment horizontal="center" vertical="center"/>
    </x:xf>
    <x:xf numFmtId="0" fontId="13" fillId="12" borderId="5" xfId="0" applyFont="1" applyFill="1" applyBorder="1" applyAlignment="1">
      <x:alignment horizontal="center" vertical="center"/>
    </x:xf>
    <x:xf numFmtId="0" fontId="10" fillId="14" borderId="5" xfId="0" applyFont="1" applyFill="1" applyBorder="1" applyAlignment="1">
      <x:alignment horizontal="left" vertical="center" wrapText="1"/>
    </x:xf>
    <x:xf numFmtId="0" fontId="11" fillId="14" borderId="5" xfId="0" applyFont="1" applyFill="1" applyBorder="1" applyAlignment="1">
      <x:alignment horizontal="center" vertical="center"/>
    </x:xf>
    <x:xf numFmtId="164" fontId="12" fillId="14" borderId="5" xfId="0" applyNumberFormat="1" applyFont="1" applyFill="1" applyBorder="1" applyAlignment="1">
      <x:alignment horizontal="center" vertical="center"/>
    </x:xf>
    <x:xf numFmtId="165" fontId="13" fillId="14" borderId="5" xfId="0" applyNumberFormat="1" applyFont="1" applyFill="1" applyBorder="1" applyAlignment="1">
      <x:alignment horizontal="center" vertical="center"/>
    </x:xf>
    <x:xf numFmtId="0" fontId="13" fillId="14" borderId="5" xfId="0" applyFont="1" applyFill="1" applyBorder="1" applyAlignment="1">
      <x:alignment horizontal="center" vertical="center"/>
    </x:xf>
    <x:xf numFmtId="0" fontId="10" fillId="15" borderId="5" xfId="0" applyFont="1" applyFill="1" applyBorder="1" applyAlignment="1">
      <x:alignment horizontal="left" vertical="center" wrapText="1"/>
    </x:xf>
    <x:xf numFmtId="0" fontId="11" fillId="15" borderId="5" xfId="0" applyFont="1" applyFill="1" applyBorder="1" applyAlignment="1">
      <x:alignment horizontal="center" vertical="center"/>
    </x:xf>
    <x:xf numFmtId="164" fontId="12" fillId="15" borderId="5" xfId="0" applyNumberFormat="1" applyFont="1" applyFill="1" applyBorder="1" applyAlignment="1">
      <x:alignment horizontal="center" vertical="center"/>
    </x:xf>
    <x:xf numFmtId="165" fontId="13" fillId="15" borderId="5" xfId="0" applyNumberFormat="1" applyFont="1" applyFill="1" applyBorder="1" applyAlignment="1">
      <x:alignment horizontal="center" vertical="center"/>
    </x:xf>
    <x:xf numFmtId="0" fontId="13" fillId="15" borderId="5" xfId="0" applyFont="1" applyFill="1" applyBorder="1" applyAlignment="1">
      <x:alignment horizontal="center" vertical="center"/>
    </x:xf>
    <x:xf numFmtId="0" fontId="8" fillId="4" borderId="8" xfId="0" applyFont="1" applyFill="1" applyBorder="1" applyAlignment="1">
      <x:alignment horizontal="center" vertical="center"/>
    </x:xf>
    <x:xf numFmtId="165" fontId="20" fillId="5" borderId="5" xfId="0" applyNumberFormat="1" applyFont="1" applyFill="1" applyBorder="1" applyAlignment="1">
      <x:alignment horizontal="center" vertical="center"/>
    </x:xf>
    <x:xf numFmtId="0" fontId="21" fillId="5" borderId="5" xfId="0" applyFont="1" applyFill="1" applyBorder="1" applyAlignment="1">
      <x:alignment horizontal="left" vertical="center" wrapText="1"/>
    </x:xf>
    <x:xf numFmtId="165" fontId="20" fillId="6" borderId="5" xfId="0" applyNumberFormat="1" applyFont="1" applyFill="1" applyBorder="1" applyAlignment="1">
      <x:alignment horizontal="center" vertical="center"/>
    </x:xf>
    <x:xf numFmtId="0" fontId="21" fillId="6" borderId="5" xfId="0" applyFont="1" applyFill="1" applyBorder="1" applyAlignment="1">
      <x:alignment horizontal="left" vertical="center" wrapText="1"/>
    </x:xf>
    <x:xf numFmtId="0" fontId="8" fillId="7" borderId="8" xfId="0" applyFont="1" applyFill="1" applyBorder="1" applyAlignment="1">
      <x:alignment horizontal="center" vertical="center"/>
    </x:xf>
    <x:xf numFmtId="165" fontId="20" fillId="8" borderId="5" xfId="0" applyNumberFormat="1" applyFont="1" applyFill="1" applyBorder="1" applyAlignment="1">
      <x:alignment horizontal="center" vertical="center"/>
    </x:xf>
    <x:xf numFmtId="0" fontId="21" fillId="8" borderId="5" xfId="0" applyFont="1" applyFill="1" applyBorder="1" applyAlignment="1">
      <x:alignment horizontal="left" vertical="center" wrapText="1"/>
    </x:xf>
    <x:xf numFmtId="165" fontId="20" fillId="9" borderId="5" xfId="0" applyNumberFormat="1" applyFont="1" applyFill="1" applyBorder="1" applyAlignment="1">
      <x:alignment horizontal="center" vertical="center"/>
    </x:xf>
    <x:xf numFmtId="0" fontId="21" fillId="9" borderId="5" xfId="0" applyFont="1" applyFill="1" applyBorder="1" applyAlignment="1">
      <x:alignment horizontal="left" vertical="center" wrapText="1"/>
    </x:xf>
    <x:xf numFmtId="0" fontId="8" fillId="10" borderId="8" xfId="0" applyFont="1" applyFill="1" applyBorder="1" applyAlignment="1">
      <x:alignment horizontal="center" vertical="center"/>
    </x:xf>
    <x:xf numFmtId="165" fontId="20" fillId="11" borderId="5" xfId="0" applyNumberFormat="1" applyFont="1" applyFill="1" applyBorder="1" applyAlignment="1">
      <x:alignment horizontal="center" vertical="center"/>
    </x:xf>
    <x:xf numFmtId="0" fontId="21" fillId="11" borderId="5" xfId="0" applyFont="1" applyFill="1" applyBorder="1" applyAlignment="1">
      <x:alignment horizontal="left" vertical="center" wrapText="1"/>
    </x:xf>
    <x:xf numFmtId="165" fontId="20" fillId="12" borderId="5" xfId="0" applyNumberFormat="1" applyFont="1" applyFill="1" applyBorder="1" applyAlignment="1">
      <x:alignment horizontal="center" vertical="center"/>
    </x:xf>
    <x:xf numFmtId="0" fontId="21" fillId="12" borderId="5" xfId="0" applyFont="1" applyFill="1" applyBorder="1" applyAlignment="1">
      <x:alignment horizontal="left" vertical="center" wrapText="1"/>
    </x:xf>
    <x:xf numFmtId="0" fontId="8" fillId="13" borderId="8" xfId="0" applyFont="1" applyFill="1" applyBorder="1" applyAlignment="1">
      <x:alignment horizontal="center" vertical="center"/>
    </x:xf>
    <x:xf numFmtId="165" fontId="20" fillId="14" borderId="5" xfId="0" applyNumberFormat="1" applyFont="1" applyFill="1" applyBorder="1" applyAlignment="1">
      <x:alignment horizontal="center" vertical="center"/>
    </x:xf>
    <x:xf numFmtId="0" fontId="21" fillId="14" borderId="5" xfId="0" applyFont="1" applyFill="1" applyBorder="1" applyAlignment="1">
      <x:alignment horizontal="left" vertical="center" wrapText="1"/>
    </x:xf>
    <x:xf numFmtId="165" fontId="20" fillId="15" borderId="5" xfId="0" applyNumberFormat="1" applyFont="1" applyFill="1" applyBorder="1" applyAlignment="1">
      <x:alignment horizontal="center" vertical="center"/>
    </x:xf>
    <x:xf numFmtId="0" fontId="21" fillId="15" borderId="5" xfId="0" applyFont="1" applyFill="1" applyBorder="1" applyAlignment="1">
      <x:alignment horizontal="left" vertical="center" wrapText="1"/>
    </x:xf>
    <x:xf numFmtId="0" fontId="27" fillId="4" borderId="11" xfId="0" applyFont="1" applyFill="1" applyBorder="1" applyAlignment="1">
      <x:alignment horizontal="center" vertical="center"/>
    </x:xf>
    <x:xf numFmtId="0" fontId="27" fillId="7" borderId="11" xfId="0" applyFont="1" applyFill="1" applyBorder="1" applyAlignment="1">
      <x:alignment horizontal="center" vertical="center"/>
    </x:xf>
    <x:xf numFmtId="0" fontId="28" fillId="17" borderId="5" xfId="0" applyFont="1" applyFill="1" applyBorder="1" applyAlignment="1">
      <x:alignment horizontal="left" vertical="center"/>
    </x:xf>
    <x:xf numFmtId="164" fontId="28" fillId="17" borderId="5" xfId="0" applyNumberFormat="1" applyFont="1" applyFill="1" applyBorder="1" applyAlignment="1">
      <x:alignment horizontal="center" vertical="center"/>
    </x:xf>
    <x:xf numFmtId="0" fontId="29" fillId="17" borderId="5" xfId="0" applyFont="1" applyFill="1" applyBorder="1" applyAlignment="1">
      <x:alignment horizontal="center" vertical="center"/>
    </x:xf>
    <x:xf numFmtId="0" fontId="28" fillId="16" borderId="5" xfId="0" applyFont="1" applyFill="1" applyBorder="1" applyAlignment="1">
      <x:alignment horizontal="left" vertical="center"/>
    </x:xf>
    <x:xf numFmtId="164" fontId="28" fillId="16" borderId="5" xfId="0" applyNumberFormat="1" applyFont="1" applyFill="1" applyBorder="1" applyAlignment="1">
      <x:alignment horizontal="center" vertical="center"/>
    </x:xf>
    <x:xf numFmtId="0" fontId="29" fillId="16" borderId="5" xfId="0" applyFont="1" applyFill="1" applyBorder="1" applyAlignment="1">
      <x:alignment horizontal="center" vertical="center"/>
    </x:xf>
    <x:xf numFmtId="0" fontId="28" fillId="18" borderId="5" xfId="0" applyFont="1" applyFill="1" applyBorder="1" applyAlignment="1">
      <x:alignment horizontal="left" vertical="center"/>
    </x:xf>
    <x:xf numFmtId="164" fontId="28" fillId="18" borderId="5" xfId="0" applyNumberFormat="1" applyFont="1" applyFill="1" applyBorder="1" applyAlignment="1">
      <x:alignment horizontal="center" vertical="center"/>
    </x:xf>
    <x:xf numFmtId="0" fontId="29" fillId="18" borderId="5" xfId="0" applyFont="1" applyFill="1" applyBorder="1" applyAlignment="1">
      <x:alignment horizontal="center" vertical="center"/>
    </x:xf>
    <x:xf numFmtId="0" fontId="27" fillId="10" borderId="11" xfId="0" applyFont="1" applyFill="1" applyBorder="1" applyAlignment="1">
      <x:alignment horizontal="center" vertical="center"/>
    </x:xf>
    <x:xf numFmtId="0" fontId="27" fillId="13" borderId="11" xfId="0" applyFont="1" applyFill="1" applyBorder="1" applyAlignment="1">
      <x:alignment horizontal="center" vertical="center"/>
    </x:xf>
    <x:xf numFmtId="0" fontId="15" fillId="12" borderId="4" xfId="0" applyFont="1" applyFill="1" applyBorder="1" applyAlignment="1">
      <x:alignment horizontal="center" vertical="center" wrapText="1"/>
    </x:xf>
    <x:xf numFmtId="0" fontId="8" fillId="13" borderId="3" xfId="0" applyFont="1" applyFill="1" applyBorder="1" applyAlignment="1">
      <x:alignment horizontal="center" vertical="center" wrapText="1"/>
    </x:xf>
    <x:xf numFmtId="0" fontId="16" fillId="14" borderId="4" xfId="0" applyFont="1" applyFill="1" applyBorder="1" applyAlignment="1">
      <x:alignment horizontal="center" vertical="center" wrapText="1"/>
    </x:xf>
    <x:xf numFmtId="0" fontId="16" fillId="15" borderId="4" xfId="0" applyFont="1" applyFill="1" applyBorder="1" applyAlignment="1">
      <x:alignment horizontal="center" vertical="center" wrapText="1"/>
    </x:xf>
    <x:xf numFmtId="0" fontId="17" fillId="2" borderId="6" xfId="0" applyFont="1" applyFill="1" applyBorder="1" applyAlignment="1">
      <x:alignment horizontal="center" vertical="center"/>
    </x:xf>
    <x:xf numFmtId="0" fontId="18" fillId="16" borderId="7" xfId="0" applyFont="1" applyFill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 wrapText="1"/>
    </x:xf>
    <x:xf numFmtId="0" fontId="19" fillId="14" borderId="9" xfId="0" applyFont="1" applyFill="1" applyBorder="1" applyAlignment="1">
      <x:alignment horizontal="center" vertical="center" wrapText="1"/>
    </x:xf>
    <x:xf numFmtId="0" fontId="22" fillId="0" borderId="0" xfId="0" applyFont="1" applyBorder="1" applyAlignment="1">
      <x:alignment horizontal="left" vertical="center" wrapText="1"/>
    </x:xf>
    <x:xf numFmtId="0" fontId="7" fillId="7" borderId="1" xfId="0" applyFont="1" applyFill="1" applyBorder="1" applyAlignment="1">
      <x:alignment horizontal="center" vertical="center" wrapText="1"/>
    </x:xf>
    <x:xf numFmtId="0" fontId="23" fillId="14" borderId="9" xfId="0" applyFont="1" applyFill="1" applyBorder="1" applyAlignment="1">
      <x:alignment horizontal="center" vertical="center" wrapText="1"/>
    </x:xf>
    <x:xf numFmtId="0" fontId="7" fillId="10" borderId="1" xfId="0" applyFont="1" applyFill="1" applyBorder="1" applyAlignment="1">
      <x:alignment horizontal="center" vertical="center" wrapText="1"/>
    </x:xf>
    <x:xf numFmtId="0" fontId="24" fillId="14" borderId="9" xfId="0" applyFont="1" applyFill="1" applyBorder="1" applyAlignment="1">
      <x:alignment horizontal="center" vertical="center" wrapText="1"/>
    </x:xf>
    <x:xf numFmtId="0" fontId="7" fillId="13" borderId="1" xfId="0" applyFont="1" applyFill="1" applyBorder="1" applyAlignment="1">
      <x:alignment horizontal="center" vertical="center" wrapText="1"/>
    </x:xf>
    <x:xf numFmtId="0" fontId="25" fillId="14" borderId="9" xfId="0" applyFont="1" applyFill="1" applyBorder="1" applyAlignment="1">
      <x:alignment horizontal="center" vertical="center" wrapText="1"/>
    </x:xf>
    <x:xf numFmtId="0" fontId="26" fillId="2" borderId="1" xfId="0" applyFont="1" applyFill="1" applyBorder="1" applyAlignment="1">
      <x:alignment horizontal="center" vertical="center" wrapText="1"/>
    </x:xf>
    <x:xf numFmtId="0" fontId="2" fillId="4" borderId="10" xfId="0" applyFont="1" applyFill="1" applyBorder="1" applyAlignment="1">
      <x:alignment horizontal="center" vertical="center"/>
    </x:xf>
    <x:xf numFmtId="0" fontId="2" fillId="7" borderId="10" xfId="0" applyFont="1" applyFill="1" applyBorder="1" applyAlignment="1">
      <x:alignment horizontal="center" vertical="center"/>
    </x:xf>
    <x:xf numFmtId="0" fontId="2" fillId="10" borderId="10" xfId="0" applyFont="1" applyFill="1" applyBorder="1" applyAlignment="1">
      <x:alignment horizontal="center" vertical="center"/>
    </x:xf>
    <x:xf numFmtId="0" fontId="2" fillId="13" borderId="10" xfId="0" applyFont="1" applyFill="1" applyBorder="1" applyAlignment="1">
      <x:alignment horizontal="center" vertical="center"/>
    </x:xf>
    <x:xf numFmtId="0" fontId="30" fillId="2" borderId="12" xfId="0" applyFont="1" applyFill="1" applyBorder="1" applyAlignment="1">
      <x:alignment horizontal="center" vertical="center" wrapText="1"/>
    </x:xf>
    <x:xf numFmtId="0" fontId="31" fillId="16" borderId="13" xfId="0" applyFont="1" applyFill="1" applyBorder="1" applyAlignment="1">
      <x:alignment horizontal="center" vertical="center"/>
    </x:xf>
    <x:xf numFmtId="0" fontId="20" fillId="17" borderId="13" xfId="0" applyFont="1" applyFill="1" applyBorder="1" applyAlignment="1">
      <x:alignment horizontal="center" vertical="center"/>
    </x:xf>
    <x:xf numFmtId="0" fontId="20" fillId="16" borderId="13" xfId="0" applyFont="1" applyFill="1" applyBorder="1" applyAlignment="1">
      <x:alignment horizontal="center" vertical="center"/>
    </x:xf>
    <x:xf numFmtId="0" fontId="20" fillId="18" borderId="13" xfId="0" applyFont="1" applyFill="1" applyBorder="1" applyAlignment="1">
      <x:alignment horizontal="center" vertical="center"/>
    </x:xf>
    <x:xf numFmtId="0" fontId="32" fillId="0" borderId="0" xfId="0" applyFont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2" borderId="1" xfId="0" applyNumberFormat="1" applyFont="1" applyFill="1" applyBorder="1" applyAlignment="1">
      <x:alignment horizontal="center" vertical="center" wrapText="1"/>
    </x:xf>
    <x:xf numFmtId="0" fontId="8" fillId="3" borderId="2" xfId="0" applyNumberFormat="1" applyFont="1" applyFill="1" applyBorder="1" applyAlignment="1">
      <x:alignment horizontal="center" vertical="center"/>
    </x:xf>
    <x:xf numFmtId="0" fontId="8" fillId="4" borderId="3" xfId="0" applyNumberFormat="1" applyFont="1" applyFill="1" applyBorder="1" applyAlignment="1">
      <x:alignment horizontal="center" vertical="center" wrapText="1"/>
    </x:xf>
    <x:xf numFmtId="0" fontId="9" fillId="5" borderId="4" xfId="0" applyNumberFormat="1" applyFont="1" applyFill="1" applyBorder="1" applyAlignment="1">
      <x:alignment horizontal="center" vertical="center" wrapText="1"/>
    </x:xf>
    <x:xf numFmtId="0" fontId="10" fillId="5" borderId="5" xfId="0" applyNumberFormat="1" applyFont="1" applyFill="1" applyBorder="1" applyAlignment="1">
      <x:alignment horizontal="left" vertical="center" wrapText="1"/>
    </x:xf>
    <x:xf numFmtId="0" fontId="11" fillId="5" borderId="5" xfId="0" applyNumberFormat="1" applyFont="1" applyFill="1" applyBorder="1" applyAlignment="1">
      <x:alignment horizontal="center" vertical="center"/>
    </x:xf>
    <x:xf numFmtId="0" fontId="13" fillId="5" borderId="5" xfId="0" applyNumberFormat="1" applyFont="1" applyFill="1" applyBorder="1" applyAlignment="1">
      <x:alignment horizontal="center" vertical="center"/>
    </x:xf>
    <x:xf numFmtId="0" fontId="9" fillId="6" borderId="4" xfId="0" applyNumberFormat="1" applyFont="1" applyFill="1" applyBorder="1" applyAlignment="1">
      <x:alignment horizontal="center" vertical="center" wrapText="1"/>
    </x:xf>
    <x:xf numFmtId="0" fontId="10" fillId="6" borderId="5" xfId="0" applyNumberFormat="1" applyFont="1" applyFill="1" applyBorder="1" applyAlignment="1">
      <x:alignment horizontal="left" vertical="center" wrapText="1"/>
    </x:xf>
    <x:xf numFmtId="0" fontId="11" fillId="6" borderId="5" xfId="0" applyNumberFormat="1" applyFont="1" applyFill="1" applyBorder="1" applyAlignment="1">
      <x:alignment horizontal="center" vertical="center"/>
    </x:xf>
    <x:xf numFmtId="0" fontId="13" fillId="6" borderId="5" xfId="0" applyNumberFormat="1" applyFont="1" applyFill="1" applyBorder="1" applyAlignment="1">
      <x:alignment horizontal="center" vertical="center"/>
    </x:xf>
    <x:xf numFmtId="0" fontId="8" fillId="7" borderId="3" xfId="0" applyNumberFormat="1" applyFont="1" applyFill="1" applyBorder="1" applyAlignment="1">
      <x:alignment horizontal="center" vertical="center" wrapText="1"/>
    </x:xf>
    <x:xf numFmtId="0" fontId="14" fillId="8" borderId="4" xfId="0" applyNumberFormat="1" applyFont="1" applyFill="1" applyBorder="1" applyAlignment="1">
      <x:alignment horizontal="center" vertical="center" wrapText="1"/>
    </x:xf>
    <x:xf numFmtId="0" fontId="10" fillId="8" borderId="5" xfId="0" applyNumberFormat="1" applyFont="1" applyFill="1" applyBorder="1" applyAlignment="1">
      <x:alignment horizontal="left" vertical="center" wrapText="1"/>
    </x:xf>
    <x:xf numFmtId="0" fontId="11" fillId="8" borderId="5" xfId="0" applyNumberFormat="1" applyFont="1" applyFill="1" applyBorder="1" applyAlignment="1">
      <x:alignment horizontal="center" vertical="center"/>
    </x:xf>
    <x:xf numFmtId="0" fontId="13" fillId="8" borderId="5" xfId="0" applyNumberFormat="1" applyFont="1" applyFill="1" applyBorder="1" applyAlignment="1">
      <x:alignment horizontal="center" vertical="center"/>
    </x:xf>
    <x:xf numFmtId="0" fontId="14" fillId="9" borderId="4" xfId="0" applyNumberFormat="1" applyFont="1" applyFill="1" applyBorder="1" applyAlignment="1">
      <x:alignment horizontal="center" vertical="center" wrapText="1"/>
    </x:xf>
    <x:xf numFmtId="0" fontId="10" fillId="9" borderId="5" xfId="0" applyNumberFormat="1" applyFont="1" applyFill="1" applyBorder="1" applyAlignment="1">
      <x:alignment horizontal="left" vertical="center" wrapText="1"/>
    </x:xf>
    <x:xf numFmtId="0" fontId="11" fillId="9" borderId="5" xfId="0" applyNumberFormat="1" applyFont="1" applyFill="1" applyBorder="1" applyAlignment="1">
      <x:alignment horizontal="center" vertical="center"/>
    </x:xf>
    <x:xf numFmtId="0" fontId="13" fillId="9" borderId="5" xfId="0" applyNumberFormat="1" applyFont="1" applyFill="1" applyBorder="1" applyAlignment="1">
      <x:alignment horizontal="center" vertical="center"/>
    </x:xf>
    <x:xf numFmtId="0" fontId="8" fillId="10" borderId="3" xfId="0" applyNumberFormat="1" applyFont="1" applyFill="1" applyBorder="1" applyAlignment="1">
      <x:alignment horizontal="center" vertical="center" wrapText="1"/>
    </x:xf>
    <x:xf numFmtId="0" fontId="15" fillId="11" borderId="4" xfId="0" applyNumberFormat="1" applyFont="1" applyFill="1" applyBorder="1" applyAlignment="1">
      <x:alignment horizontal="center" vertical="center" wrapText="1"/>
    </x:xf>
    <x:xf numFmtId="0" fontId="10" fillId="11" borderId="5" xfId="0" applyNumberFormat="1" applyFont="1" applyFill="1" applyBorder="1" applyAlignment="1">
      <x:alignment horizontal="left" vertical="center" wrapText="1"/>
    </x:xf>
    <x:xf numFmtId="0" fontId="11" fillId="11" borderId="5" xfId="0" applyNumberFormat="1" applyFont="1" applyFill="1" applyBorder="1" applyAlignment="1">
      <x:alignment horizontal="center" vertical="center"/>
    </x:xf>
    <x:xf numFmtId="0" fontId="13" fillId="11" borderId="5" xfId="0" applyNumberFormat="1" applyFont="1" applyFill="1" applyBorder="1" applyAlignment="1">
      <x:alignment horizontal="center" vertical="center"/>
    </x:xf>
    <x:xf numFmtId="0" fontId="15" fillId="12" borderId="4" xfId="0" applyNumberFormat="1" applyFont="1" applyFill="1" applyBorder="1" applyAlignment="1">
      <x:alignment horizontal="center" vertical="center" wrapText="1"/>
    </x:xf>
    <x:xf numFmtId="0" fontId="10" fillId="12" borderId="5" xfId="0" applyNumberFormat="1" applyFont="1" applyFill="1" applyBorder="1" applyAlignment="1">
      <x:alignment horizontal="left" vertical="center" wrapText="1"/>
    </x:xf>
    <x:xf numFmtId="0" fontId="11" fillId="12" borderId="5" xfId="0" applyNumberFormat="1" applyFont="1" applyFill="1" applyBorder="1" applyAlignment="1">
      <x:alignment horizontal="center" vertical="center"/>
    </x:xf>
    <x:xf numFmtId="0" fontId="13" fillId="12" borderId="5" xfId="0" applyNumberFormat="1" applyFont="1" applyFill="1" applyBorder="1" applyAlignment="1">
      <x:alignment horizontal="center" vertical="center"/>
    </x:xf>
    <x:xf numFmtId="0" fontId="8" fillId="13" borderId="3" xfId="0" applyNumberFormat="1" applyFont="1" applyFill="1" applyBorder="1" applyAlignment="1">
      <x:alignment horizontal="center" vertical="center" wrapText="1"/>
    </x:xf>
    <x:xf numFmtId="0" fontId="16" fillId="14" borderId="4" xfId="0" applyNumberFormat="1" applyFont="1" applyFill="1" applyBorder="1" applyAlignment="1">
      <x:alignment horizontal="center" vertical="center" wrapText="1"/>
    </x:xf>
    <x:xf numFmtId="0" fontId="10" fillId="14" borderId="5" xfId="0" applyNumberFormat="1" applyFont="1" applyFill="1" applyBorder="1" applyAlignment="1">
      <x:alignment horizontal="left" vertical="center" wrapText="1"/>
    </x:xf>
    <x:xf numFmtId="0" fontId="11" fillId="14" borderId="5" xfId="0" applyNumberFormat="1" applyFont="1" applyFill="1" applyBorder="1" applyAlignment="1">
      <x:alignment horizontal="center" vertical="center"/>
    </x:xf>
    <x:xf numFmtId="0" fontId="13" fillId="14" borderId="5" xfId="0" applyNumberFormat="1" applyFont="1" applyFill="1" applyBorder="1" applyAlignment="1">
      <x:alignment horizontal="center" vertical="center"/>
    </x:xf>
    <x:xf numFmtId="0" fontId="16" fillId="15" borderId="4" xfId="0" applyNumberFormat="1" applyFont="1" applyFill="1" applyBorder="1" applyAlignment="1">
      <x:alignment horizontal="center" vertical="center" wrapText="1"/>
    </x:xf>
    <x:xf numFmtId="0" fontId="10" fillId="15" borderId="5" xfId="0" applyNumberFormat="1" applyFont="1" applyFill="1" applyBorder="1" applyAlignment="1">
      <x:alignment horizontal="left" vertical="center" wrapText="1"/>
    </x:xf>
    <x:xf numFmtId="0" fontId="11" fillId="15" borderId="5" xfId="0" applyNumberFormat="1" applyFont="1" applyFill="1" applyBorder="1" applyAlignment="1">
      <x:alignment horizontal="center" vertical="center"/>
    </x:xf>
    <x:xf numFmtId="0" fontId="13" fillId="15" borderId="5" xfId="0" applyNumberFormat="1" applyFont="1" applyFill="1" applyBorder="1" applyAlignment="1">
      <x:alignment horizontal="center" vertical="center"/>
    </x:xf>
    <x:xf numFmtId="0" fontId="17" fillId="2" borderId="6" xfId="0" applyNumberFormat="1" applyFont="1" applyFill="1" applyBorder="1" applyAlignment="1">
      <x:alignment horizontal="center" vertical="center"/>
    </x:xf>
    <x:xf numFmtId="0" fontId="18" fillId="16" borderId="7" xfId="0" applyNumberFormat="1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8" fillId="4" borderId="8" xfId="0" applyNumberFormat="1" applyFont="1" applyFill="1" applyBorder="1" applyAlignment="1">
      <x:alignment horizontal="center" vertical="center"/>
    </x:xf>
    <x:xf numFmtId="0" fontId="19" fillId="14" borderId="9" xfId="0" applyNumberFormat="1" applyFont="1" applyFill="1" applyBorder="1" applyAlignment="1">
      <x:alignment horizontal="center" vertical="center" wrapText="1"/>
    </x:xf>
    <x:xf numFmtId="0" fontId="21" fillId="5" borderId="5" xfId="0" applyNumberFormat="1" applyFont="1" applyFill="1" applyBorder="1" applyAlignment="1">
      <x:alignment horizontal="left" vertical="center" wrapText="1"/>
    </x:xf>
    <x:xf numFmtId="0" fontId="21" fillId="6" borderId="5" xfId="0" applyNumberFormat="1" applyFont="1" applyFill="1" applyBorder="1" applyAlignment="1">
      <x:alignment horizontal="left" vertical="center" wrapText="1"/>
    </x:xf>
    <x:xf numFmtId="0" fontId="22" fillId="0" borderId="0" xfId="0" applyNumberFormat="1" applyFont="1" applyFill="1" applyBorder="1" applyAlignment="1">
      <x:alignment horizontal="left" vertic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8" fillId="7" borderId="8" xfId="0" applyNumberFormat="1" applyFont="1" applyFill="1" applyBorder="1" applyAlignment="1">
      <x:alignment horizontal="center" vertical="center"/>
    </x:xf>
    <x:xf numFmtId="0" fontId="23" fillId="14" borderId="9" xfId="0" applyNumberFormat="1" applyFont="1" applyFill="1" applyBorder="1" applyAlignment="1">
      <x:alignment horizontal="center" vertical="center" wrapText="1"/>
    </x:xf>
    <x:xf numFmtId="0" fontId="21" fillId="8" borderId="5" xfId="0" applyNumberFormat="1" applyFont="1" applyFill="1" applyBorder="1" applyAlignment="1">
      <x:alignment horizontal="left" vertical="center" wrapText="1"/>
    </x:xf>
    <x:xf numFmtId="0" fontId="21" fillId="9" borderId="5" xfId="0" applyNumberFormat="1" applyFont="1" applyFill="1" applyBorder="1" applyAlignment="1">
      <x:alignment horizontal="left" vertical="center" wrapText="1"/>
    </x:xf>
    <x:xf numFmtId="0" fontId="7" fillId="10" borderId="1" xfId="0" applyNumberFormat="1" applyFont="1" applyFill="1" applyBorder="1" applyAlignment="1">
      <x:alignment horizontal="center" vertical="center" wrapText="1"/>
    </x:xf>
    <x:xf numFmtId="0" fontId="8" fillId="10" borderId="8" xfId="0" applyNumberFormat="1" applyFont="1" applyFill="1" applyBorder="1" applyAlignment="1">
      <x:alignment horizontal="center" vertical="center"/>
    </x:xf>
    <x:xf numFmtId="0" fontId="24" fillId="14" borderId="9" xfId="0" applyNumberFormat="1" applyFont="1" applyFill="1" applyBorder="1" applyAlignment="1">
      <x:alignment horizontal="center" vertical="center" wrapText="1"/>
    </x:xf>
    <x:xf numFmtId="0" fontId="21" fillId="11" borderId="5" xfId="0" applyNumberFormat="1" applyFont="1" applyFill="1" applyBorder="1" applyAlignment="1">
      <x:alignment horizontal="left" vertical="center" wrapText="1"/>
    </x:xf>
    <x:xf numFmtId="0" fontId="21" fillId="12" borderId="5" xfId="0" applyNumberFormat="1" applyFont="1" applyFill="1" applyBorder="1" applyAlignment="1">
      <x:alignment horizontal="left" vertical="center" wrapText="1"/>
    </x:xf>
    <x:xf numFmtId="0" fontId="7" fillId="13" borderId="1" xfId="0" applyNumberFormat="1" applyFont="1" applyFill="1" applyBorder="1" applyAlignment="1">
      <x:alignment horizontal="center" vertical="center" wrapText="1"/>
    </x:xf>
    <x:xf numFmtId="0" fontId="8" fillId="13" borderId="8" xfId="0" applyNumberFormat="1" applyFont="1" applyFill="1" applyBorder="1" applyAlignment="1">
      <x:alignment horizontal="center" vertical="center"/>
    </x:xf>
    <x:xf numFmtId="0" fontId="25" fillId="14" borderId="9" xfId="0" applyNumberFormat="1" applyFont="1" applyFill="1" applyBorder="1" applyAlignment="1">
      <x:alignment horizontal="center" vertical="center" wrapText="1"/>
    </x:xf>
    <x:xf numFmtId="0" fontId="21" fillId="14" borderId="5" xfId="0" applyNumberFormat="1" applyFont="1" applyFill="1" applyBorder="1" applyAlignment="1">
      <x:alignment horizontal="left" vertical="center" wrapText="1"/>
    </x:xf>
    <x:xf numFmtId="0" fontId="21" fillId="15" borderId="5" xfId="0" applyNumberFormat="1" applyFont="1" applyFill="1" applyBorder="1" applyAlignment="1">
      <x:alignment horizontal="left" vertical="center" wrapText="1"/>
    </x:xf>
    <x:xf numFmtId="0" fontId="26" fillId="2" borderId="1" xfId="0" applyNumberFormat="1" applyFont="1" applyFill="1" applyBorder="1" applyAlignment="1">
      <x:alignment horizontal="center" vertical="center" wrapText="1"/>
    </x:xf>
    <x:xf numFmtId="0" fontId="2" fillId="4" borderId="10" xfId="0" applyNumberFormat="1" applyFont="1" applyFill="1" applyBorder="1" applyAlignment="1">
      <x:alignment horizontal="center" vertical="center"/>
    </x:xf>
    <x:xf numFmtId="0" fontId="2" fillId="7" borderId="10" xfId="0" applyNumberFormat="1" applyFont="1" applyFill="1" applyBorder="1" applyAlignment="1">
      <x:alignment horizontal="center" vertical="center"/>
    </x:xf>
    <x:xf numFmtId="0" fontId="27" fillId="4" borderId="11" xfId="0" applyNumberFormat="1" applyFont="1" applyFill="1" applyBorder="1" applyAlignment="1">
      <x:alignment horizontal="center" vertical="center"/>
    </x:xf>
    <x:xf numFmtId="0" fontId="27" fillId="7" borderId="11" xfId="0" applyNumberFormat="1" applyFont="1" applyFill="1" applyBorder="1" applyAlignment="1">
      <x:alignment horizontal="center" vertical="center"/>
    </x:xf>
    <x:xf numFmtId="0" fontId="28" fillId="17" borderId="5" xfId="0" applyNumberFormat="1" applyFont="1" applyFill="1" applyBorder="1" applyAlignment="1">
      <x:alignment horizontal="left" vertical="center"/>
    </x:xf>
    <x:xf numFmtId="0" fontId="29" fillId="17" borderId="5" xfId="0" applyNumberFormat="1" applyFont="1" applyFill="1" applyBorder="1" applyAlignment="1">
      <x:alignment horizontal="center" vertical="center"/>
    </x:xf>
    <x:xf numFmtId="0" fontId="28" fillId="16" borderId="5" xfId="0" applyNumberFormat="1" applyFont="1" applyFill="1" applyBorder="1" applyAlignment="1">
      <x:alignment horizontal="left" vertical="center"/>
    </x:xf>
    <x:xf numFmtId="0" fontId="29" fillId="16" borderId="5" xfId="0" applyNumberFormat="1" applyFont="1" applyFill="1" applyBorder="1" applyAlignment="1">
      <x:alignment horizontal="center" vertical="center"/>
    </x:xf>
    <x:xf numFmtId="0" fontId="28" fillId="18" borderId="5" xfId="0" applyNumberFormat="1" applyFont="1" applyFill="1" applyBorder="1" applyAlignment="1">
      <x:alignment horizontal="left" vertical="center"/>
    </x:xf>
    <x:xf numFmtId="0" fontId="29" fillId="18" borderId="5" xfId="0" applyNumberFormat="1" applyFont="1" applyFill="1" applyBorder="1" applyAlignment="1">
      <x:alignment horizontal="center" vertical="center"/>
    </x:xf>
    <x:xf numFmtId="0" fontId="2" fillId="10" borderId="10" xfId="0" applyNumberFormat="1" applyFont="1" applyFill="1" applyBorder="1" applyAlignment="1">
      <x:alignment horizontal="center" vertical="center"/>
    </x:xf>
    <x:xf numFmtId="0" fontId="2" fillId="13" borderId="10" xfId="0" applyNumberFormat="1" applyFont="1" applyFill="1" applyBorder="1" applyAlignment="1">
      <x:alignment horizontal="center" vertical="center"/>
    </x:xf>
    <x:xf numFmtId="0" fontId="27" fillId="10" borderId="11" xfId="0" applyNumberFormat="1" applyFont="1" applyFill="1" applyBorder="1" applyAlignment="1">
      <x:alignment horizontal="center" vertical="center"/>
    </x:xf>
    <x:xf numFmtId="0" fontId="27" fillId="13" borderId="11" xfId="0" applyNumberFormat="1" applyFont="1" applyFill="1" applyBorder="1" applyAlignment="1">
      <x:alignment horizontal="center" vertical="center"/>
    </x:xf>
    <x:xf numFmtId="0" fontId="30" fillId="2" borderId="12" xfId="0" applyNumberFormat="1" applyFont="1" applyFill="1" applyBorder="1" applyAlignment="1">
      <x:alignment horizontal="center" vertical="center" wrapText="1"/>
    </x:xf>
    <x:xf numFmtId="0" fontId="31" fillId="16" borderId="13" xfId="0" applyNumberFormat="1" applyFont="1" applyFill="1" applyBorder="1" applyAlignment="1">
      <x:alignment horizontal="center" vertical="center"/>
    </x:xf>
    <x:xf numFmtId="0" fontId="20" fillId="17" borderId="13" xfId="0" applyNumberFormat="1" applyFont="1" applyFill="1" applyBorder="1" applyAlignment="1">
      <x:alignment horizontal="center" vertical="center"/>
    </x:xf>
    <x:xf numFmtId="0" fontId="20" fillId="16" borderId="13" xfId="0" applyNumberFormat="1" applyFont="1" applyFill="1" applyBorder="1" applyAlignment="1">
      <x:alignment horizontal="center" vertical="center"/>
    </x:xf>
    <x:xf numFmtId="0" fontId="20" fillId="18" borderId="13" xfId="0" applyNumberFormat="1" applyFont="1" applyFill="1" applyBorder="1" applyAlignment="1">
      <x:alignment horizontal="center" vertical="center"/>
    </x:xf>
    <x:xf numFmtId="0" fontId="32" fillId="0" borderId="0" xfId="0" applyNumberFormat="1" applyFont="1" applyFill="1" applyBorder="1" applyAlignment="1">
      <x:alignment horizontal="left" vertical="center" wrapText="1"/>
    </x:xf>
    <x:xf numFmtId="0" fontId="0" fillId="19" borderId="0" xfId="0" applyNumberFormat="1" applyFont="1" applyFill="1" applyBorder="1"/>
    <x:xf numFmtId="0" fontId="34" fillId="19" borderId="0" xfId="0" applyNumberFormat="1" applyFont="1" applyFill="1" applyBorder="1"/>
    <x:xf numFmtId="200" fontId="13" fillId="5" borderId="5" xfId="0" applyNumberFormat="1" applyFont="1" applyFill="1" applyBorder="1" applyAlignment="1">
      <x:alignment horizontal="center" vertical="center"/>
    </x:xf>
    <x:xf numFmtId="200" fontId="13" fillId="6" borderId="5" xfId="0" applyNumberFormat="1" applyFont="1" applyFill="1" applyBorder="1" applyAlignment="1">
      <x:alignment horizontal="center" vertical="center"/>
    </x:xf>
    <x:xf numFmtId="200" fontId="33" fillId="0" borderId="0" xfId="0" applyNumberFormat="1" applyFont="1" applyFill="1" applyBorder="1"/>
    <x:xf numFmtId="200" fontId="13" fillId="8" borderId="5" xfId="0" applyNumberFormat="1" applyFont="1" applyFill="1" applyBorder="1" applyAlignment="1">
      <x:alignment horizontal="center" vertical="center"/>
    </x:xf>
    <x:xf numFmtId="200" fontId="13" fillId="9" borderId="5" xfId="0" applyNumberFormat="1" applyFont="1" applyFill="1" applyBorder="1" applyAlignment="1">
      <x:alignment horizontal="center" vertical="center"/>
    </x:xf>
    <x:xf numFmtId="200" fontId="13" fillId="11" borderId="5" xfId="0" applyNumberFormat="1" applyFont="1" applyFill="1" applyBorder="1" applyAlignment="1">
      <x:alignment horizontal="center" vertical="center"/>
    </x:xf>
    <x:xf numFmtId="200" fontId="13" fillId="12" borderId="5" xfId="0" applyNumberFormat="1" applyFont="1" applyFill="1" applyBorder="1" applyAlignment="1">
      <x:alignment horizontal="center" vertical="center"/>
    </x:xf>
    <x:xf numFmtId="200" fontId="13" fillId="14" borderId="5" xfId="0" applyNumberFormat="1" applyFont="1" applyFill="1" applyBorder="1" applyAlignment="1">
      <x:alignment horizontal="center" vertical="center"/>
    </x:xf>
    <x:xf numFmtId="200" fontId="13" fillId="15" borderId="5" xfId="0" applyNumberFormat="1" applyFont="1" applyFill="1" applyBorder="1" applyAlignment="1">
      <x:alignment horizontal="center" vertical="center"/>
    </x:xf>
    <x:xf numFmtId="201" fontId="12" fillId="5" borderId="5" xfId="0" applyNumberFormat="1" applyFont="1" applyFill="1" applyBorder="1" applyAlignment="1">
      <x:alignment horizontal="center" vertical="center"/>
    </x:xf>
    <x:xf numFmtId="201" fontId="12" fillId="6" borderId="5" xfId="0" applyNumberFormat="1" applyFont="1" applyFill="1" applyBorder="1" applyAlignment="1">
      <x:alignment horizontal="center" vertical="center"/>
    </x:xf>
    <x:xf numFmtId="201" fontId="33" fillId="0" borderId="0" xfId="0" applyNumberFormat="1" applyFont="1" applyFill="1" applyBorder="1"/>
    <x:xf numFmtId="201" fontId="12" fillId="8" borderId="5" xfId="0" applyNumberFormat="1" applyFont="1" applyFill="1" applyBorder="1" applyAlignment="1">
      <x:alignment horizontal="center" vertical="center"/>
    </x:xf>
    <x:xf numFmtId="201" fontId="12" fillId="9" borderId="5" xfId="0" applyNumberFormat="1" applyFont="1" applyFill="1" applyBorder="1" applyAlignment="1">
      <x:alignment horizontal="center" vertical="center"/>
    </x:xf>
    <x:xf numFmtId="201" fontId="12" fillId="11" borderId="5" xfId="0" applyNumberFormat="1" applyFont="1" applyFill="1" applyBorder="1" applyAlignment="1">
      <x:alignment horizontal="center" vertical="center"/>
    </x:xf>
    <x:xf numFmtId="201" fontId="12" fillId="12" borderId="5" xfId="0" applyNumberFormat="1" applyFont="1" applyFill="1" applyBorder="1" applyAlignment="1">
      <x:alignment horizontal="center" vertical="center"/>
    </x:xf>
    <x:xf numFmtId="201" fontId="12" fillId="14" borderId="5" xfId="0" applyNumberFormat="1" applyFont="1" applyFill="1" applyBorder="1" applyAlignment="1">
      <x:alignment horizontal="center" vertical="center"/>
    </x:xf>
    <x:xf numFmtId="201" fontId="12" fillId="15" borderId="5" xfId="0" applyNumberFormat="1" applyFont="1" applyFill="1" applyBorder="1" applyAlignment="1">
      <x:alignment horizontal="center" vertical="center"/>
    </x:xf>
    <x:xf numFmtId="201" fontId="35" fillId="5" borderId="5" xfId="0" applyNumberFormat="1" applyFont="1" applyFill="1" applyBorder="1" applyAlignment="1">
      <x:alignment horizontal="center" vertical="center"/>
    </x:xf>
    <x:xf numFmtId="201" fontId="35" fillId="6" borderId="5" xfId="0" applyNumberFormat="1" applyFont="1" applyFill="1" applyBorder="1" applyAlignment="1">
      <x:alignment horizontal="center" vertical="center"/>
    </x:xf>
    <x:xf numFmtId="201" fontId="36" fillId="0" borderId="0" xfId="0" applyNumberFormat="1" applyFont="1" applyFill="1" applyBorder="1"/>
    <x:xf numFmtId="201" fontId="35" fillId="8" borderId="5" xfId="0" applyNumberFormat="1" applyFont="1" applyFill="1" applyBorder="1" applyAlignment="1">
      <x:alignment horizontal="center" vertical="center"/>
    </x:xf>
    <x:xf numFmtId="201" fontId="35" fillId="9" borderId="5" xfId="0" applyNumberFormat="1" applyFont="1" applyFill="1" applyBorder="1" applyAlignment="1">
      <x:alignment horizontal="center" vertical="center"/>
    </x:xf>
    <x:xf numFmtId="201" fontId="35" fillId="11" borderId="5" xfId="0" applyNumberFormat="1" applyFont="1" applyFill="1" applyBorder="1" applyAlignment="1">
      <x:alignment horizontal="center" vertical="center"/>
    </x:xf>
    <x:xf numFmtId="201" fontId="35" fillId="12" borderId="5" xfId="0" applyNumberFormat="1" applyFont="1" applyFill="1" applyBorder="1" applyAlignment="1">
      <x:alignment horizontal="center" vertical="center"/>
    </x:xf>
    <x:xf numFmtId="201" fontId="35" fillId="14" borderId="5" xfId="0" applyNumberFormat="1" applyFont="1" applyFill="1" applyBorder="1" applyAlignment="1">
      <x:alignment horizontal="center" vertical="center"/>
    </x:xf>
    <x:xf numFmtId="201" fontId="35" fillId="15" borderId="5" xfId="0" applyNumberFormat="1" applyFont="1" applyFill="1" applyBorder="1" applyAlignment="1">
      <x:alignment horizontal="center" vertical="center"/>
    </x:xf>
    <x:xf numFmtId="201" fontId="35" fillId="20" borderId="5" xfId="0" applyNumberFormat="1" applyFont="1" applyFill="1" applyBorder="1" applyAlignment="1">
      <x:alignment horizontal="center" vertical="center"/>
    </x:xf>
    <x:xf numFmtId="201" fontId="36" fillId="20" borderId="0" xfId="0" applyNumberFormat="1" applyFont="1" applyFill="1" applyBorder="1"/>
    <x:xf numFmtId="200" fontId="13" fillId="21" borderId="5" xfId="0" applyNumberFormat="1" applyFont="1" applyFill="1" applyBorder="1" applyAlignment="1">
      <x:alignment horizontal="center" vertical="center"/>
    </x:xf>
    <x:xf numFmtId="0" fontId="13" fillId="21" borderId="5" xfId="0" applyNumberFormat="1" applyFont="1" applyFill="1" applyBorder="1" applyAlignment="1">
      <x:alignment horizontal="center" vertical="center"/>
    </x:xf>
    <x:xf numFmtId="200" fontId="33" fillId="21" borderId="0" xfId="0" applyNumberFormat="1" applyFont="1" applyFill="1" applyBorder="1"/>
    <x:xf numFmtId="0" fontId="33" fillId="21" borderId="0" xfId="0" applyNumberFormat="1" applyFont="1" applyFill="1" applyBorder="1"/>
    <x:xf numFmtId="0" fontId="33" fillId="0" borderId="0" xfId="0" applyNumberFormat="1" applyFont="1" applyFill="1" applyBorder="1" applyAlignment="1">
      <x:alignment vertical="center"/>
    </x:xf>
    <x:xf numFmtId="0" fontId="33" fillId="0" borderId="0" xfId="0" applyNumberFormat="1" applyFont="1" applyFill="1" applyBorder="1" applyAlignment="1">
      <x:alignment vertical="center" wrapText="1"/>
    </x:xf>
    <x:xf numFmtId="164" fontId="37" fillId="5" borderId="5" xfId="0" applyNumberFormat="1" applyFont="1" applyFill="1" applyBorder="1" applyAlignment="1">
      <x:alignment horizontal="center" vertical="center"/>
    </x:xf>
    <x:xf numFmtId="200" fontId="20" fillId="5" borderId="5" xfId="0" applyNumberFormat="1" applyFont="1" applyFill="1" applyBorder="1" applyAlignment="1">
      <x:alignment horizontal="center" vertical="center"/>
    </x:xf>
    <x:xf numFmtId="201" fontId="37" fillId="5" borderId="5" xfId="0" applyNumberFormat="1" applyFont="1" applyFill="1" applyBorder="1" applyAlignment="1">
      <x:alignment horizontal="center" vertical="center"/>
    </x:xf>
    <x:xf numFmtId="164" fontId="37" fillId="6" borderId="5" xfId="0" applyNumberFormat="1" applyFont="1" applyFill="1" applyBorder="1" applyAlignment="1">
      <x:alignment horizontal="center" vertical="center"/>
    </x:xf>
    <x:xf numFmtId="200" fontId="20" fillId="6" borderId="5" xfId="0" applyNumberFormat="1" applyFont="1" applyFill="1" applyBorder="1" applyAlignment="1">
      <x:alignment horizontal="center" vertical="center"/>
    </x:xf>
    <x:xf numFmtId="201" fontId="37" fillId="6" borderId="5" xfId="0" applyNumberFormat="1" applyFont="1" applyFill="1" applyBorder="1" applyAlignment="1">
      <x:alignment horizontal="center" vertical="center"/>
    </x:xf>
    <x:xf numFmtId="164" fontId="37" fillId="8" borderId="5" xfId="0" applyNumberFormat="1" applyFont="1" applyFill="1" applyBorder="1" applyAlignment="1">
      <x:alignment horizontal="center" vertical="center"/>
    </x:xf>
    <x:xf numFmtId="200" fontId="20" fillId="8" borderId="5" xfId="0" applyNumberFormat="1" applyFont="1" applyFill="1" applyBorder="1" applyAlignment="1">
      <x:alignment horizontal="center" vertical="center"/>
    </x:xf>
    <x:xf numFmtId="201" fontId="37" fillId="8" borderId="5" xfId="0" applyNumberFormat="1" applyFont="1" applyFill="1" applyBorder="1" applyAlignment="1">
      <x:alignment horizontal="center" vertical="center"/>
    </x:xf>
    <x:xf numFmtId="164" fontId="37" fillId="9" borderId="5" xfId="0" applyNumberFormat="1" applyFont="1" applyFill="1" applyBorder="1" applyAlignment="1">
      <x:alignment horizontal="center" vertical="center"/>
    </x:xf>
    <x:xf numFmtId="200" fontId="20" fillId="9" borderId="5" xfId="0" applyNumberFormat="1" applyFont="1" applyFill="1" applyBorder="1" applyAlignment="1">
      <x:alignment horizontal="center" vertical="center"/>
    </x:xf>
    <x:xf numFmtId="201" fontId="37" fillId="9" borderId="5" xfId="0" applyNumberFormat="1" applyFont="1" applyFill="1" applyBorder="1" applyAlignment="1">
      <x:alignment horizontal="center" vertical="center"/>
    </x:xf>
    <x:xf numFmtId="164" fontId="37" fillId="11" borderId="5" xfId="0" applyNumberFormat="1" applyFont="1" applyFill="1" applyBorder="1" applyAlignment="1">
      <x:alignment horizontal="center" vertical="center"/>
    </x:xf>
    <x:xf numFmtId="200" fontId="20" fillId="11" borderId="5" xfId="0" applyNumberFormat="1" applyFont="1" applyFill="1" applyBorder="1" applyAlignment="1">
      <x:alignment horizontal="center" vertical="center"/>
    </x:xf>
    <x:xf numFmtId="201" fontId="37" fillId="11" borderId="5" xfId="0" applyNumberFormat="1" applyFont="1" applyFill="1" applyBorder="1" applyAlignment="1">
      <x:alignment horizontal="center" vertical="center"/>
    </x:xf>
    <x:xf numFmtId="164" fontId="37" fillId="12" borderId="5" xfId="0" applyNumberFormat="1" applyFont="1" applyFill="1" applyBorder="1" applyAlignment="1">
      <x:alignment horizontal="center" vertical="center"/>
    </x:xf>
    <x:xf numFmtId="200" fontId="20" fillId="12" borderId="5" xfId="0" applyNumberFormat="1" applyFont="1" applyFill="1" applyBorder="1" applyAlignment="1">
      <x:alignment horizontal="center" vertical="center"/>
    </x:xf>
    <x:xf numFmtId="201" fontId="37" fillId="12" borderId="5" xfId="0" applyNumberFormat="1" applyFont="1" applyFill="1" applyBorder="1" applyAlignment="1">
      <x:alignment horizontal="center" vertical="center"/>
    </x:xf>
    <x:xf numFmtId="164" fontId="37" fillId="14" borderId="5" xfId="0" applyNumberFormat="1" applyFont="1" applyFill="1" applyBorder="1" applyAlignment="1">
      <x:alignment horizontal="center" vertical="center"/>
    </x:xf>
    <x:xf numFmtId="200" fontId="20" fillId="14" borderId="5" xfId="0" applyNumberFormat="1" applyFont="1" applyFill="1" applyBorder="1" applyAlignment="1">
      <x:alignment horizontal="center" vertical="center"/>
    </x:xf>
    <x:xf numFmtId="201" fontId="37" fillId="14" borderId="5" xfId="0" applyNumberFormat="1" applyFont="1" applyFill="1" applyBorder="1" applyAlignment="1">
      <x:alignment horizontal="center" vertical="center"/>
    </x:xf>
    <x:xf numFmtId="164" fontId="37" fillId="15" borderId="5" xfId="0" applyNumberFormat="1" applyFont="1" applyFill="1" applyBorder="1" applyAlignment="1">
      <x:alignment horizontal="center" vertical="center"/>
    </x:xf>
    <x:xf numFmtId="200" fontId="20" fillId="15" borderId="5" xfId="0" applyNumberFormat="1" applyFont="1" applyFill="1" applyBorder="1" applyAlignment="1">
      <x:alignment horizontal="center" vertical="center"/>
    </x:xf>
    <x:xf numFmtId="201" fontId="37" fillId="15" borderId="5" xfId="0" applyNumberFormat="1" applyFont="1" applyFill="1" applyBorder="1" applyAlignment="1">
      <x:alignment horizontal="center" vertical="center"/>
    </x:xf>
    <x:xf numFmtId="0" fontId="33" fillId="0" borderId="0" xfId="0" applyNumberFormat="1" applyFont="1" applyFill="1" applyBorder="1" applyAlignment="1">
      <x:alignment wrapText="1"/>
    </x:xf>
    <x:xf numFmtId="0" fontId="38" fillId="0" borderId="0" xfId="0" applyNumberFormat="1" applyFont="1" applyFill="1" applyBorder="1"/>
    <x:xf numFmtId="0" fontId="39" fillId="0" borderId="0" xfId="0" applyNumberFormat="1" applyFont="1" applyFill="1" applyBorder="1"/>
    <x:xf numFmtId="0" fontId="40" fillId="0" borderId="0" xfId="0" applyNumberFormat="1" applyFont="1" applyFill="1" applyBorder="1"/>
    <x:xf numFmtId="200" fontId="39" fillId="0" borderId="0" xfId="0" applyNumberFormat="1" applyFont="1" applyFill="1" applyBorder="1"/>
    <x:xf numFmtId="200" fontId="41" fillId="0" borderId="0" xfId="0" applyNumberFormat="1" applyFont="1" applyFill="1" applyBorder="1"/>
    <x:xf numFmtId="0" fontId="41" fillId="0" borderId="0" xfId="0" applyNumberFormat="1" applyFont="1" applyFill="1" applyBorder="1"/>
    <x:xf numFmtId="200" fontId="41" fillId="0" borderId="0" xfId="0" applyNumberFormat="1" applyFont="1" applyFill="1" applyBorder="1" applyAlignment="1">
      <x:alignment horizontal="left"/>
    </x:xf>
    <x:xf numFmtId="0" fontId="41" fillId="0" borderId="0" xfId="0" applyNumberFormat="1" applyFont="1" applyFill="1" applyBorder="1" applyAlignment="1">
      <x:alignment horizontal="left"/>
    </x:xf>
    <x:xf numFmtId="0" fontId="39" fillId="0" borderId="0" xfId="0" applyNumberFormat="1" applyFont="1" applyFill="1" applyBorder="1" applyAlignment="1">
      <x:alignment horizontal="left"/>
    </x:xf>
    <x:xf numFmtId="200" fontId="41" fillId="0" borderId="0" xfId="0" applyNumberFormat="1" applyFont="1" applyFill="1" applyBorder="1" applyAlignment="1">
      <x:alignment horizontal="left" vertical="center"/>
    </x:xf>
    <x:xf numFmtId="0" fontId="41" fillId="0" borderId="0" xfId="0" applyNumberFormat="1" applyFont="1" applyFill="1" applyBorder="1" applyAlignment="1">
      <x:alignment horizontal="left" vertical="center"/>
    </x:xf>
    <x:xf numFmtId="0" fontId="39" fillId="0" borderId="0" xfId="0" applyNumberFormat="1" applyFont="1" applyFill="1" applyBorder="1" applyAlignment="1">
      <x:alignment horizontal="left" vertical="center"/>
    </x:xf>
    <x:xf numFmtId="0" fontId="39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2" fontId="39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39" fillId="19" borderId="0" xfId="0" applyNumberFormat="1" applyFont="1" applyFill="1" applyBorder="1"/>
    <x:xf numFmtId="0" fontId="17" fillId="19" borderId="0" xfId="0" applyNumberFormat="1" applyFont="1" applyFill="1" applyBorder="1"/>
    <x:xf numFmtId="0" fontId="17" fillId="19" borderId="0" xfId="0" applyNumberFormat="1" applyFont="1" applyFill="1" applyBorder="1" applyAlignment="1">
      <x:alignment wrapText="1"/>
    </x:xf>
    <x:xf numFmtId="200" fontId="18" fillId="16" borderId="7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vertical="center"/>
    </x:xf>
    <x:xf numFmtId="201" fontId="36" fillId="20" borderId="0" xfId="0" applyNumberFormat="1" applyFont="1" applyFill="1" applyBorder="1" applyAlignment="1">
      <x:alignment vertical="center"/>
    </x:xf>
    <x:xf numFmtId="200" fontId="33" fillId="21" borderId="0" xfId="0" applyNumberFormat="1" applyFont="1" applyFill="1" applyBorder="1" applyAlignment="1">
      <x:alignment vertical="center"/>
    </x:xf>
    <x:xf numFmtId="0" fontId="33" fillId="21" borderId="0" xfId="0" applyNumberFormat="1" applyFont="1" applyFill="1" applyBorder="1" applyAlignment="1">
      <x:alignment vertical="center"/>
    </x:xf>
    <x:xf numFmtId="0" fontId="42" fillId="0" borderId="0" xfId="0" applyNumberFormat="1" applyFont="1" applyFill="1" applyBorder="1"/>
    <x:xf numFmtId="0" fontId="42" fillId="0" borderId="0" xfId="0" applyNumberFormat="1" applyFont="1" applyFill="1" applyBorder="1" applyAlignment="1">
      <x:alignment vertical="center"/>
    </x:xf>
    <x:xf numFmtId="202" fontId="33" fillId="0" borderId="0" xfId="0" applyNumberFormat="1" applyFont="1" applyFill="1" applyBorder="1"/>
    <x:xf numFmtId="0" fontId="39" fillId="0" borderId="0" xfId="0" applyNumberFormat="1" applyFont="1" applyFill="1" applyBorder="1" applyAlignment="1">
      <x:alignment vertical="center"/>
    </x:xf>
    <x:xf numFmtId="0" fontId="40" fillId="0" borderId="0" xfId="0" applyNumberFormat="1" applyFont="1" applyFill="1" applyBorder="1" applyAlignment="1">
      <x:alignment vertical="center"/>
    </x:xf>
    <x:xf numFmtId="0" fontId="17" fillId="19" borderId="0" xfId="0" applyNumberFormat="1" applyFont="1" applyFill="1" applyBorder="1" applyAlignment="1">
      <x:alignment vertical="center" wrapText="1"/>
    </x:xf>
    <x:xf numFmtId="200" fontId="39" fillId="0" borderId="0" xfId="0" applyNumberFormat="1" applyFont="1" applyFill="1" applyBorder="1" applyAlignment="1">
      <x:alignment vertical="center"/>
    </x:xf>
    <x:xf numFmtId="0" fontId="39" fillId="0" borderId="0" xfId="0" applyNumberFormat="1" applyFont="1" applyFill="1" applyBorder="1" applyAlignment="1">
      <x:alignment vertical="center" wrapText="1"/>
    </x:xf>
    <x:xf numFmtId="202" fontId="39" fillId="0" borderId="0" xfId="0" applyNumberFormat="1" applyFont="1" applyFill="1" applyBorder="1" applyAlignment="1">
      <x:alignment vertical="center"/>
    </x:xf>
    <x:xf numFmtId="202" fontId="33" fillId="0" borderId="0" xfId="0" applyNumberFormat="1" applyFont="1" applyFill="1" applyBorder="1" applyAlignment="1">
      <x:alignment vertical="center"/>
    </x:xf>
    <x:xf numFmtId="200" fontId="33" fillId="0" borderId="0" xfId="0" applyNumberFormat="1" applyFont="1" applyFill="1" applyBorder="1" applyAlignment="1">
      <x:alignment vertical="center"/>
    </x:xf>
    <x:xf numFmtId="0" fontId="0" fillId="22" borderId="0" xfId="0" applyNumberFormat="1" applyFont="1" applyFill="1" applyBorder="1"/>
    <x:xf numFmtId="0" fontId="43" fillId="22" borderId="0" xfId="0" applyNumberFormat="1" applyFont="1" applyFill="1" applyBorder="1"/>
    <x:xf numFmtId="0" fontId="44" fillId="22" borderId="0" xfId="0" applyNumberFormat="1" applyFont="1" applyFill="1" applyBorder="1"/>
    <x:xf numFmtId="0" fontId="45" fillId="22" borderId="0" xfId="0" applyNumberFormat="1" applyFont="1" applyFill="1" applyBorder="1"/>
    <x:xf numFmtId="0" fontId="46" fillId="22" borderId="0" xfId="0" applyNumberFormat="1" applyFont="1" applyFill="1" applyBorder="1"/>
    <x:xf numFmtId="0" fontId="43" fillId="23" borderId="0" xfId="0" applyNumberFormat="1" applyFont="1" applyFill="1" applyBorder="1"/>
    <x:xf numFmtId="0" fontId="47" fillId="23" borderId="0" xfId="0" applyNumberFormat="1" applyFont="1" applyFill="1" applyBorder="1"/>
    <x:xf numFmtId="0" fontId="43" fillId="24" borderId="0" xfId="0" applyNumberFormat="1" applyFont="1" applyFill="1" applyBorder="1"/>
    <x:xf numFmtId="0" fontId="30" fillId="24" borderId="0" xfId="0" applyNumberFormat="1" applyFont="1" applyFill="1" applyBorder="1"/>
    <x:xf numFmtId="0" fontId="43" fillId="25" borderId="0" xfId="0" applyNumberFormat="1" applyFont="1" applyFill="1" applyBorder="1"/>
    <x:xf numFmtId="0" fontId="43" fillId="25" borderId="0" xfId="0" applyNumberFormat="1" applyFont="1" applyFill="1" applyBorder="1" applyAlignment="1">
      <x:alignment wrapText="1"/>
    </x:xf>
    <x:xf numFmtId="0" fontId="43" fillId="26" borderId="0" xfId="0" applyNumberFormat="1" applyFont="1" applyFill="1" applyBorder="1"/>
    <x:xf numFmtId="0" fontId="30" fillId="26" borderId="0" xfId="0" applyNumberFormat="1" applyFont="1" applyFill="1" applyBorder="1"/>
    <x:xf numFmtId="0" fontId="43" fillId="27" borderId="0" xfId="0" applyNumberFormat="1" applyFont="1" applyFill="1" applyBorder="1"/>
    <x:xf numFmtId="0" fontId="43" fillId="27" borderId="0" xfId="0" applyNumberFormat="1" applyFont="1" applyFill="1" applyBorder="1" applyAlignment="1">
      <x:alignment wrapText="1"/>
    </x:xf>
    <x:xf numFmtId="0" fontId="43" fillId="28" borderId="0" xfId="0" applyNumberFormat="1" applyFont="1" applyFill="1" applyBorder="1"/>
    <x:xf numFmtId="0" fontId="30" fillId="28" borderId="0" xfId="0" applyNumberFormat="1" applyFont="1" applyFill="1" applyBorder="1"/>
    <x:xf numFmtId="0" fontId="43" fillId="29" borderId="0" xfId="0" applyNumberFormat="1" applyFont="1" applyFill="1" applyBorder="1"/>
    <x:xf numFmtId="0" fontId="43" fillId="29" borderId="0" xfId="0" applyNumberFormat="1" applyFont="1" applyFill="1" applyBorder="1" applyAlignment="1">
      <x:alignment wrapText="1"/>
    </x:xf>
    <x:xf numFmtId="0" fontId="43" fillId="30" borderId="0" xfId="0" applyNumberFormat="1" applyFont="1" applyFill="1" applyBorder="1"/>
    <x:xf numFmtId="0" fontId="30" fillId="30" borderId="0" xfId="0" applyNumberFormat="1" applyFont="1" applyFill="1" applyBorder="1"/>
    <x:xf numFmtId="0" fontId="43" fillId="31" borderId="0" xfId="0" applyNumberFormat="1" applyFont="1" applyFill="1" applyBorder="1"/>
    <x:xf numFmtId="0" fontId="43" fillId="31" borderId="0" xfId="0" applyNumberFormat="1" applyFont="1" applyFill="1" applyBorder="1" applyAlignment="1">
      <x:alignment wrapText="1"/>
    </x:xf>
    <x:xf numFmtId="0" fontId="48" fillId="22" borderId="0" xfId="0" applyNumberFormat="1" applyFont="1" applyFill="1" applyBorder="1"/>
    <x:xf numFmtId="0" fontId="49" fillId="22" borderId="0" xfId="0" applyNumberFormat="1" applyFont="1" applyFill="1" applyBorder="1"/>
    <x:xf numFmtId="0" fontId="43" fillId="22" borderId="0" xfId="0" applyNumberFormat="1" applyFont="1" applyFill="1" applyBorder="1" applyAlignment="1">
      <x:alignment wrapText="1"/>
    </x:xf>
    <x:xf numFmtId="0" fontId="50" fillId="22" borderId="0" xfId="0" applyNumberFormat="1" applyFont="1" applyFill="1" applyBorder="1" applyAlignment="1">
      <x:alignment wrapText="1"/>
    </x:xf>
    <x:xf numFmtId="0" fontId="7" fillId="2" borderId="14" xfId="0" applyNumberFormat="1" applyFont="1" applyFill="1" applyBorder="1" applyAlignment="1">
      <x:alignment horizontal="center" vertical="center" wrapText="1"/>
    </x:xf>
    <x:xf numFmtId="0" fontId="33" fillId="0" borderId="14" xfId="0" applyNumberFormat="1" applyFont="1" applyFill="1" applyBorder="1" applyAlignment="1">
      <x:alignment vertical="center"/>
    </x:xf>
    <x:xf numFmtId="0" fontId="8" fillId="3" borderId="14" xfId="0" applyNumberFormat="1" applyFont="1" applyFill="1" applyBorder="1" applyAlignment="1">
      <x:alignment horizontal="center" vertical="center"/>
    </x:xf>
    <x:xf numFmtId="0" fontId="2" fillId="19" borderId="14" xfId="0" applyNumberFormat="1" applyFont="1" applyFill="1" applyBorder="1" applyAlignment="1">
      <x:alignment vertical="center"/>
    </x:xf>
    <x:xf numFmtId="0" fontId="8" fillId="4" borderId="14" xfId="0" applyNumberFormat="1" applyFont="1" applyFill="1" applyBorder="1" applyAlignment="1">
      <x:alignment horizontal="center" vertical="center" wrapText="1"/>
    </x:xf>
    <x:xf numFmtId="0" fontId="9" fillId="5" borderId="14" xfId="0" applyNumberFormat="1" applyFont="1" applyFill="1" applyBorder="1" applyAlignment="1">
      <x:alignment horizontal="center" vertical="center" wrapText="1"/>
    </x:xf>
    <x:xf numFmtId="0" fontId="10" fillId="5" borderId="14" xfId="0" applyNumberFormat="1" applyFont="1" applyFill="1" applyBorder="1" applyAlignment="1">
      <x:alignment horizontal="left" vertical="center" wrapText="1"/>
    </x:xf>
    <x:xf numFmtId="0" fontId="11" fillId="5" borderId="14" xfId="0" applyNumberFormat="1" applyFont="1" applyFill="1" applyBorder="1" applyAlignment="1">
      <x:alignment horizontal="center" vertical="center"/>
    </x:xf>
    <x:xf numFmtId="201" fontId="35" fillId="20" borderId="14" xfId="0" applyNumberFormat="1" applyFont="1" applyFill="1" applyBorder="1" applyAlignment="1">
      <x:alignment horizontal="center" vertical="center"/>
    </x:xf>
    <x:xf numFmtId="200" fontId="13" fillId="21" borderId="14" xfId="0" applyNumberFormat="1" applyFont="1" applyFill="1" applyBorder="1" applyAlignment="1">
      <x:alignment horizontal="center" vertical="center"/>
    </x:xf>
    <x:xf numFmtId="0" fontId="13" fillId="21" borderId="14" xfId="0" applyNumberFormat="1" applyFont="1" applyFill="1" applyBorder="1" applyAlignment="1">
      <x:alignment horizontal="center" vertical="center"/>
    </x:xf>
    <x:xf numFmtId="0" fontId="9" fillId="6" borderId="14" xfId="0" applyNumberFormat="1" applyFont="1" applyFill="1" applyBorder="1" applyAlignment="1">
      <x:alignment horizontal="center" vertical="center" wrapText="1"/>
    </x:xf>
    <x:xf numFmtId="0" fontId="10" fillId="6" borderId="14" xfId="0" applyNumberFormat="1" applyFont="1" applyFill="1" applyBorder="1" applyAlignment="1">
      <x:alignment horizontal="left" vertical="center" wrapText="1"/>
    </x:xf>
    <x:xf numFmtId="0" fontId="11" fillId="6" borderId="14" xfId="0" applyNumberFormat="1" applyFont="1" applyFill="1" applyBorder="1" applyAlignment="1">
      <x:alignment horizontal="center" vertical="center"/>
    </x:xf>
    <x:xf numFmtId="0" fontId="33" fillId="0" borderId="14" xfId="0" applyNumberFormat="1" applyFont="1" applyFill="1" applyBorder="1" applyAlignment="1">
      <x:alignment vertical="center" wrapText="1"/>
    </x:xf>
    <x:xf numFmtId="201" fontId="36" fillId="20" borderId="14" xfId="0" applyNumberFormat="1" applyFont="1" applyFill="1" applyBorder="1" applyAlignment="1">
      <x:alignment vertical="center"/>
    </x:xf>
    <x:xf numFmtId="200" fontId="33" fillId="21" borderId="14" xfId="0" applyNumberFormat="1" applyFont="1" applyFill="1" applyBorder="1" applyAlignment="1">
      <x:alignment vertical="center"/>
    </x:xf>
    <x:xf numFmtId="0" fontId="33" fillId="21" borderId="14" xfId="0" applyNumberFormat="1" applyFont="1" applyFill="1" applyBorder="1" applyAlignment="1">
      <x:alignment vertical="center"/>
    </x:xf>
    <x:xf numFmtId="0" fontId="8" fillId="7" borderId="14" xfId="0" applyNumberFormat="1" applyFont="1" applyFill="1" applyBorder="1" applyAlignment="1">
      <x:alignment horizontal="center" vertical="center" wrapText="1"/>
    </x:xf>
    <x:xf numFmtId="0" fontId="14" fillId="8" borderId="14" xfId="0" applyNumberFormat="1" applyFont="1" applyFill="1" applyBorder="1" applyAlignment="1">
      <x:alignment horizontal="center" vertical="center" wrapText="1"/>
    </x:xf>
    <x:xf numFmtId="0" fontId="10" fillId="8" borderId="14" xfId="0" applyNumberFormat="1" applyFont="1" applyFill="1" applyBorder="1" applyAlignment="1">
      <x:alignment horizontal="left" vertical="center" wrapText="1"/>
    </x:xf>
    <x:xf numFmtId="0" fontId="11" fillId="8" borderId="14" xfId="0" applyNumberFormat="1" applyFont="1" applyFill="1" applyBorder="1" applyAlignment="1">
      <x:alignment horizontal="center" vertical="center"/>
    </x:xf>
    <x:xf numFmtId="0" fontId="14" fillId="9" borderId="14" xfId="0" applyNumberFormat="1" applyFont="1" applyFill="1" applyBorder="1" applyAlignment="1">
      <x:alignment horizontal="center" vertical="center" wrapText="1"/>
    </x:xf>
    <x:xf numFmtId="0" fontId="10" fillId="9" borderId="14" xfId="0" applyNumberFormat="1" applyFont="1" applyFill="1" applyBorder="1" applyAlignment="1">
      <x:alignment horizontal="left" vertical="center" wrapText="1"/>
    </x:xf>
    <x:xf numFmtId="0" fontId="11" fillId="9" borderId="14" xfId="0" applyNumberFormat="1" applyFont="1" applyFill="1" applyBorder="1" applyAlignment="1">
      <x:alignment horizontal="center" vertical="center"/>
    </x:xf>
    <x:xf numFmtId="0" fontId="8" fillId="10" borderId="14" xfId="0" applyNumberFormat="1" applyFont="1" applyFill="1" applyBorder="1" applyAlignment="1">
      <x:alignment horizontal="center" vertical="center" wrapText="1"/>
    </x:xf>
    <x:xf numFmtId="0" fontId="15" fillId="11" borderId="14" xfId="0" applyNumberFormat="1" applyFont="1" applyFill="1" applyBorder="1" applyAlignment="1">
      <x:alignment horizontal="center" vertical="center" wrapText="1"/>
    </x:xf>
    <x:xf numFmtId="0" fontId="10" fillId="11" borderId="14" xfId="0" applyNumberFormat="1" applyFont="1" applyFill="1" applyBorder="1" applyAlignment="1">
      <x:alignment horizontal="left" vertical="center" wrapText="1"/>
    </x:xf>
    <x:xf numFmtId="0" fontId="11" fillId="11" borderId="14" xfId="0" applyNumberFormat="1" applyFont="1" applyFill="1" applyBorder="1" applyAlignment="1">
      <x:alignment horizontal="center" vertical="center"/>
    </x:xf>
    <x:xf numFmtId="0" fontId="15" fillId="12" borderId="14" xfId="0" applyNumberFormat="1" applyFont="1" applyFill="1" applyBorder="1" applyAlignment="1">
      <x:alignment horizontal="center" vertical="center" wrapText="1"/>
    </x:xf>
    <x:xf numFmtId="0" fontId="10" fillId="12" borderId="14" xfId="0" applyNumberFormat="1" applyFont="1" applyFill="1" applyBorder="1" applyAlignment="1">
      <x:alignment horizontal="left" vertical="center" wrapText="1"/>
    </x:xf>
    <x:xf numFmtId="0" fontId="11" fillId="12" borderId="14" xfId="0" applyNumberFormat="1" applyFont="1" applyFill="1" applyBorder="1" applyAlignment="1">
      <x:alignment horizontal="center" vertical="center"/>
    </x:xf>
    <x:xf numFmtId="0" fontId="8" fillId="13" borderId="14" xfId="0" applyNumberFormat="1" applyFont="1" applyFill="1" applyBorder="1" applyAlignment="1">
      <x:alignment horizontal="center" vertical="center" wrapText="1"/>
    </x:xf>
    <x:xf numFmtId="0" fontId="16" fillId="14" borderId="14" xfId="0" applyNumberFormat="1" applyFont="1" applyFill="1" applyBorder="1" applyAlignment="1">
      <x:alignment horizontal="center" vertical="center" wrapText="1"/>
    </x:xf>
    <x:xf numFmtId="0" fontId="10" fillId="14" borderId="14" xfId="0" applyNumberFormat="1" applyFont="1" applyFill="1" applyBorder="1" applyAlignment="1">
      <x:alignment horizontal="left" vertical="center" wrapText="1"/>
    </x:xf>
    <x:xf numFmtId="0" fontId="11" fillId="14" borderId="14" xfId="0" applyNumberFormat="1" applyFont="1" applyFill="1" applyBorder="1" applyAlignment="1">
      <x:alignment horizontal="center" vertical="center"/>
    </x:xf>
    <x:xf numFmtId="0" fontId="16" fillId="15" borderId="14" xfId="0" applyNumberFormat="1" applyFont="1" applyFill="1" applyBorder="1" applyAlignment="1">
      <x:alignment horizontal="center" vertical="center" wrapText="1"/>
    </x:xf>
    <x:xf numFmtId="0" fontId="10" fillId="15" borderId="14" xfId="0" applyNumberFormat="1" applyFont="1" applyFill="1" applyBorder="1" applyAlignment="1">
      <x:alignment horizontal="left" vertical="center" wrapText="1"/>
    </x:xf>
    <x:xf numFmtId="0" fontId="11" fillId="15" borderId="14" xfId="0" applyNumberFormat="1" applyFont="1" applyFill="1" applyBorder="1" applyAlignment="1">
      <x:alignment horizontal="center" vertical="center"/>
    </x:xf>
    <x:xf numFmtId="0" fontId="17" fillId="2" borderId="14" xfId="0" applyNumberFormat="1" applyFont="1" applyFill="1" applyBorder="1" applyAlignment="1">
      <x:alignment horizontal="center" vertical="center"/>
    </x:xf>
    <x:xf numFmtId="200" fontId="18" fillId="16" borderId="14" xfId="0" applyNumberFormat="1" applyFont="1" applyFill="1" applyBorder="1" applyAlignment="1">
      <x:alignment horizontal="center" vertical="center"/>
    </x:xf>
    <x:xf numFmtId="0" fontId="7" fillId="22" borderId="14" xfId="0" applyNumberFormat="1" applyFont="1" applyFill="1" applyBorder="1" applyAlignment="1">
      <x:alignment horizontal="center" vertical="center" wrapText="1"/>
    </x:xf>
    <x:xf numFmtId="0" fontId="33" fillId="22" borderId="14" xfId="0" applyNumberFormat="1" applyFont="1" applyFill="1" applyBorder="1" applyAlignment="1">
      <x:alignment vertical="center"/>
    </x:xf>
    <x:xf numFmtId="0" fontId="8" fillId="22" borderId="14" xfId="0" applyNumberFormat="1" applyFont="1" applyFill="1" applyBorder="1" applyAlignment="1">
      <x:alignment horizontal="center" vertical="center"/>
    </x:xf>
    <x:xf numFmtId="0" fontId="2" fillId="22" borderId="14" xfId="0" applyNumberFormat="1" applyFont="1" applyFill="1" applyBorder="1" applyAlignment="1">
      <x:alignment vertical="center"/>
    </x:xf>
    <x:xf numFmtId="0" fontId="8" fillId="22" borderId="14" xfId="0" applyNumberFormat="1" applyFont="1" applyFill="1" applyBorder="1" applyAlignment="1">
      <x:alignment horizontal="center" vertical="center" wrapText="1"/>
    </x:xf>
    <x:xf numFmtId="0" fontId="9" fillId="22" borderId="14" xfId="0" applyNumberFormat="1" applyFont="1" applyFill="1" applyBorder="1" applyAlignment="1">
      <x:alignment horizontal="center" vertical="center" wrapText="1"/>
    </x:xf>
    <x:xf numFmtId="0" fontId="10" fillId="22" borderId="14" xfId="0" applyNumberFormat="1" applyFont="1" applyFill="1" applyBorder="1" applyAlignment="1">
      <x:alignment horizontal="left" vertical="center" wrapText="1"/>
    </x:xf>
    <x:xf numFmtId="0" fontId="11" fillId="22" borderId="14" xfId="0" applyNumberFormat="1" applyFont="1" applyFill="1" applyBorder="1" applyAlignment="1">
      <x:alignment horizontal="center" vertical="center"/>
    </x:xf>
    <x:xf numFmtId="201" fontId="35" fillId="22" borderId="14" xfId="0" applyNumberFormat="1" applyFont="1" applyFill="1" applyBorder="1" applyAlignment="1">
      <x:alignment horizontal="center" vertical="center"/>
    </x:xf>
    <x:xf numFmtId="200" fontId="13" fillId="22" borderId="14" xfId="0" applyNumberFormat="1" applyFont="1" applyFill="1" applyBorder="1" applyAlignment="1">
      <x:alignment horizontal="center" vertical="center"/>
    </x:xf>
    <x:xf numFmtId="0" fontId="13" fillId="22" borderId="14" xfId="0" applyNumberFormat="1" applyFont="1" applyFill="1" applyBorder="1" applyAlignment="1">
      <x:alignment horizontal="center" vertical="center"/>
    </x:xf>
    <x:xf numFmtId="0" fontId="33" fillId="22" borderId="14" xfId="0" applyNumberFormat="1" applyFont="1" applyFill="1" applyBorder="1" applyAlignment="1">
      <x:alignment vertical="center" wrapText="1"/>
    </x:xf>
    <x:xf numFmtId="201" fontId="36" fillId="22" borderId="14" xfId="0" applyNumberFormat="1" applyFont="1" applyFill="1" applyBorder="1" applyAlignment="1">
      <x:alignment vertical="center"/>
    </x:xf>
    <x:xf numFmtId="200" fontId="33" fillId="22" borderId="14" xfId="0" applyNumberFormat="1" applyFont="1" applyFill="1" applyBorder="1" applyAlignment="1">
      <x:alignment vertical="center"/>
    </x:xf>
    <x:xf numFmtId="0" fontId="14" fillId="22" borderId="14" xfId="0" applyNumberFormat="1" applyFont="1" applyFill="1" applyBorder="1" applyAlignment="1">
      <x:alignment horizontal="center" vertical="center" wrapText="1"/>
    </x:xf>
    <x:xf numFmtId="0" fontId="15" fillId="22" borderId="14" xfId="0" applyNumberFormat="1" applyFont="1" applyFill="1" applyBorder="1" applyAlignment="1">
      <x:alignment horizontal="center" vertical="center" wrapText="1"/>
    </x:xf>
    <x:xf numFmtId="0" fontId="16" fillId="22" borderId="14" xfId="0" applyNumberFormat="1" applyFont="1" applyFill="1" applyBorder="1" applyAlignment="1">
      <x:alignment horizontal="center" vertical="center" wrapText="1"/>
    </x:xf>
    <x:xf numFmtId="0" fontId="17" fillId="22" borderId="14" xfId="0" applyNumberFormat="1" applyFont="1" applyFill="1" applyBorder="1" applyAlignment="1">
      <x:alignment horizontal="center" vertical="center"/>
    </x:xf>
    <x:xf numFmtId="200" fontId="18" fillId="22" borderId="14" xfId="0" applyNumberFormat="1" applyFont="1" applyFill="1" applyBorder="1" applyAlignment="1">
      <x:alignment horizontal="center" vertical="center"/>
    </x:xf>
    <x:xf numFmtId="0" fontId="43" fillId="22" borderId="14" xfId="0" applyNumberFormat="1" applyFont="1" applyFill="1" applyBorder="1" applyAlignment="1">
      <x:alignment horizontal="center" vertical="center" wrapText="1"/>
    </x:xf>
    <x:xf numFmtId="0" fontId="43" fillId="22" borderId="14" xfId="0" applyNumberFormat="1" applyFont="1" applyFill="1" applyBorder="1" applyAlignment="1">
      <x:alignment vertical="center"/>
    </x:xf>
    <x:xf numFmtId="0" fontId="43" fillId="22" borderId="14" xfId="0" applyNumberFormat="1" applyFont="1" applyFill="1" applyBorder="1" applyAlignment="1">
      <x:alignment horizontal="center" vertical="center"/>
    </x:xf>
    <x:xf numFmtId="0" fontId="43" fillId="22" borderId="14" xfId="0" applyNumberFormat="1" applyFont="1" applyFill="1" applyBorder="1" applyAlignment="1">
      <x:alignment horizontal="left" vertical="center" wrapText="1"/>
    </x:xf>
    <x:xf numFmtId="201" fontId="43" fillId="22" borderId="14" xfId="0" applyNumberFormat="1" applyFont="1" applyFill="1" applyBorder="1" applyAlignment="1">
      <x:alignment horizontal="center" vertical="center"/>
    </x:xf>
    <x:xf numFmtId="200" fontId="43" fillId="22" borderId="14" xfId="0" applyNumberFormat="1" applyFont="1" applyFill="1" applyBorder="1" applyAlignment="1">
      <x:alignment horizontal="center" vertical="center"/>
    </x:xf>
    <x:xf numFmtId="0" fontId="43" fillId="22" borderId="14" xfId="0" applyNumberFormat="1" applyFont="1" applyFill="1" applyBorder="1" applyAlignment="1">
      <x:alignment vertical="center" wrapText="1"/>
    </x:xf>
    <x:xf numFmtId="201" fontId="43" fillId="22" borderId="14" xfId="0" applyNumberFormat="1" applyFont="1" applyFill="1" applyBorder="1" applyAlignment="1">
      <x:alignment vertical="center"/>
    </x:xf>
    <x:xf numFmtId="200" fontId="43" fillId="22" borderId="14" xfId="0" applyNumberFormat="1" applyFont="1" applyFill="1" applyBorder="1" applyAlignment="1">
      <x:alignment vertical="center"/>
    </x:xf>
    <x:xf numFmtId="0" fontId="51" fillId="22" borderId="14" xfId="0" applyNumberFormat="1" applyFont="1" applyFill="1" applyBorder="1" applyAlignment="1">
      <x:alignment horizontal="center" vertical="center" wrapText="1"/>
    </x:xf>
    <x:xf numFmtId="0" fontId="43" fillId="32" borderId="14" xfId="0" applyNumberFormat="1" applyFont="1" applyFill="1" applyBorder="1" applyAlignment="1">
      <x:alignment horizontal="center" vertical="center"/>
    </x:xf>
    <x:xf numFmtId="0" fontId="43" fillId="32" borderId="14" xfId="0" applyNumberFormat="1" applyFont="1" applyFill="1" applyBorder="1" applyAlignment="1">
      <x:alignment vertical="center"/>
    </x:xf>
    <x:xf numFmtId="0" fontId="17" fillId="32" borderId="14" xfId="0" applyNumberFormat="1" applyFont="1" applyFill="1" applyBorder="1" applyAlignment="1">
      <x:alignment horizontal="center" vertical="center"/>
    </x:xf>
    <x:xf numFmtId="0" fontId="17" fillId="32" borderId="14" xfId="0" applyNumberFormat="1" applyFont="1" applyFill="1" applyBorder="1" applyAlignment="1">
      <x:alignment vertical="center"/>
    </x:xf>
    <x:xf numFmtId="0" fontId="17" fillId="32" borderId="14" xfId="0" applyNumberFormat="1" applyFont="1" applyFill="1" applyBorder="1" applyAlignment="1">
      <x:alignment horizontal="center" vertical="center" wrapText="1"/>
    </x:xf>
    <x:xf numFmtId="0" fontId="17" fillId="32" borderId="14" xfId="0" applyNumberFormat="1" applyFont="1" applyFill="1" applyBorder="1" applyAlignment="1">
      <x:alignment vertical="center" wrapText="1"/>
    </x:xf>
    <x:xf numFmtId="0" fontId="43" fillId="24" borderId="14" xfId="0" applyNumberFormat="1" applyFont="1" applyFill="1" applyBorder="1" applyAlignment="1">
      <x:alignment horizontal="center" vertical="center" wrapText="1"/>
    </x:xf>
    <x:xf numFmtId="0" fontId="17" fillId="24" borderId="14" xfId="0" applyNumberFormat="1" applyFont="1" applyFill="1" applyBorder="1" applyAlignment="1">
      <x:alignment horizontal="center" vertical="center" wrapText="1"/>
    </x:xf>
    <x:xf numFmtId="0" fontId="43" fillId="25" borderId="14" xfId="0" applyNumberFormat="1" applyFont="1" applyFill="1" applyBorder="1" applyAlignment="1">
      <x:alignment horizontal="center" vertical="center" wrapText="1"/>
    </x:xf>
    <x:xf numFmtId="0" fontId="52" fillId="25" borderId="14" xfId="0" applyNumberFormat="1" applyFont="1" applyFill="1" applyBorder="1" applyAlignment="1">
      <x:alignment horizontal="center" vertical="center" wrapText="1"/>
    </x:xf>
    <x:xf numFmtId="201" fontId="43" fillId="33" borderId="14" xfId="0" applyNumberFormat="1" applyFont="1" applyFill="1" applyBorder="1" applyAlignment="1">
      <x:alignment horizontal="center" vertical="center"/>
    </x:xf>
    <x:xf numFmtId="201" fontId="53" fillId="33" borderId="14" xfId="0" applyNumberFormat="1" applyFont="1" applyFill="1" applyBorder="1" applyAlignment="1">
      <x:alignment horizontal="center" vertical="center"/>
    </x:xf>
    <x:xf numFmtId="0" fontId="43" fillId="34" borderId="14" xfId="0" applyNumberFormat="1" applyFont="1" applyFill="1" applyBorder="1" applyAlignment="1">
      <x:alignment vertical="center"/>
    </x:xf>
    <x:xf numFmtId="0" fontId="50" fillId="34" borderId="14" xfId="0" applyNumberFormat="1" applyFont="1" applyFill="1" applyBorder="1" applyAlignment="1">
      <x:alignment vertical="center"/>
    </x:xf>
    <x:xf numFmtId="0" fontId="43" fillId="23" borderId="14" xfId="0" applyNumberFormat="1" applyFont="1" applyFill="1" applyBorder="1" applyAlignment="1">
      <x:alignment horizontal="center" vertical="center" wrapText="1"/>
    </x:xf>
    <x:xf numFmtId="0" fontId="43" fillId="23" borderId="14" xfId="0" applyNumberFormat="1" applyFont="1" applyFill="1" applyBorder="1" applyAlignment="1">
      <x:alignment horizontal="left" vertical="center" wrapText="1"/>
    </x:xf>
    <x:xf numFmtId="0" fontId="43" fillId="23" borderId="14" xfId="0" applyNumberFormat="1" applyFont="1" applyFill="1" applyBorder="1" applyAlignment="1">
      <x:alignment horizontal="center" vertical="center"/>
    </x:xf>
    <x:xf numFmtId="201" fontId="43" fillId="23" borderId="14" xfId="0" applyNumberFormat="1" applyFont="1" applyFill="1" applyBorder="1" applyAlignment="1">
      <x:alignment horizontal="center" vertical="center"/>
    </x:xf>
    <x:xf numFmtId="200" fontId="43" fillId="23" borderId="14" xfId="0" applyNumberFormat="1" applyFont="1" applyFill="1" applyBorder="1" applyAlignment="1">
      <x:alignment horizontal="center" vertical="center"/>
    </x:xf>
    <x:xf numFmtId="0" fontId="43" fillId="23" borderId="14" xfId="0" applyNumberFormat="1" applyFont="1" applyFill="1" applyBorder="1" applyAlignment="1">
      <x:alignment vertical="center"/>
    </x:xf>
    <x:xf numFmtId="0" fontId="50" fillId="34" borderId="14" xfId="0" applyNumberFormat="1" applyFont="1" applyFill="1" applyBorder="1" applyAlignment="1">
      <x:alignment horizontal="center" vertical="center"/>
    </x:xf>
    <x:xf numFmtId="0" fontId="43" fillId="26" borderId="14" xfId="0" applyNumberFormat="1" applyFont="1" applyFill="1" applyBorder="1" applyAlignment="1">
      <x:alignment horizontal="center" vertical="center" wrapText="1"/>
    </x:xf>
    <x:xf numFmtId="0" fontId="17" fillId="26" borderId="14" xfId="0" applyNumberFormat="1" applyFont="1" applyFill="1" applyBorder="1" applyAlignment="1">
      <x:alignment horizontal="center" vertical="center" wrapText="1"/>
    </x:xf>
    <x:xf numFmtId="0" fontId="43" fillId="27" borderId="14" xfId="0" applyNumberFormat="1" applyFont="1" applyFill="1" applyBorder="1" applyAlignment="1">
      <x:alignment horizontal="center" vertical="center" wrapText="1"/>
    </x:xf>
    <x:xf numFmtId="0" fontId="52" fillId="27" borderId="14" xfId="0" applyNumberFormat="1" applyFont="1" applyFill="1" applyBorder="1" applyAlignment="1">
      <x:alignment horizontal="center" vertical="center" wrapText="1"/>
    </x:xf>
    <x:xf numFmtId="0" fontId="43" fillId="28" borderId="14" xfId="0" applyNumberFormat="1" applyFont="1" applyFill="1" applyBorder="1" applyAlignment="1">
      <x:alignment horizontal="center" vertical="center" wrapText="1"/>
    </x:xf>
    <x:xf numFmtId="0" fontId="17" fillId="28" borderId="14" xfId="0" applyNumberFormat="1" applyFont="1" applyFill="1" applyBorder="1" applyAlignment="1">
      <x:alignment horizontal="center" vertical="center" wrapText="1"/>
    </x:xf>
    <x:xf numFmtId="0" fontId="43" fillId="29" borderId="14" xfId="0" applyNumberFormat="1" applyFont="1" applyFill="1" applyBorder="1" applyAlignment="1">
      <x:alignment horizontal="center" vertical="center" wrapText="1"/>
    </x:xf>
    <x:xf numFmtId="0" fontId="52" fillId="29" borderId="14" xfId="0" applyNumberFormat="1" applyFont="1" applyFill="1" applyBorder="1" applyAlignment="1">
      <x:alignment horizontal="center" vertical="center" wrapText="1"/>
    </x:xf>
    <x:xf numFmtId="0" fontId="43" fillId="30" borderId="14" xfId="0" applyNumberFormat="1" applyFont="1" applyFill="1" applyBorder="1" applyAlignment="1">
      <x:alignment horizontal="center" vertical="center" wrapText="1"/>
    </x:xf>
    <x:xf numFmtId="0" fontId="17" fillId="30" borderId="14" xfId="0" applyNumberFormat="1" applyFont="1" applyFill="1" applyBorder="1" applyAlignment="1">
      <x:alignment horizontal="center" vertical="center" wrapText="1"/>
    </x:xf>
    <x:xf numFmtId="0" fontId="43" fillId="31" borderId="14" xfId="0" applyNumberFormat="1" applyFont="1" applyFill="1" applyBorder="1" applyAlignment="1">
      <x:alignment horizontal="center" vertical="center" wrapText="1"/>
    </x:xf>
    <x:xf numFmtId="0" fontId="52" fillId="31" borderId="14" xfId="0" applyNumberFormat="1" applyFont="1" applyFill="1" applyBorder="1" applyAlignment="1">
      <x:alignment horizontal="center" vertical="center" wrapText="1"/>
    </x:xf>
    <x:xf numFmtId="200" fontId="43" fillId="32" borderId="14" xfId="0" applyNumberFormat="1" applyFont="1" applyFill="1" applyBorder="1" applyAlignment="1">
      <x:alignment horizontal="center" vertical="center"/>
    </x:xf>
    <x:xf numFmtId="0" fontId="2" fillId="32" borderId="14" xfId="0" applyNumberFormat="1" applyFont="1" applyFill="1" applyBorder="1" applyAlignment="1">
      <x:alignment horizontal="center" vertical="center"/>
    </x:xf>
    <x:xf numFmtId="200" fontId="2" fillId="32" borderId="14" xfId="0" applyNumberFormat="1" applyFont="1" applyFill="1" applyBorder="1" applyAlignment="1">
      <x:alignment horizontal="center" vertical="center"/>
    </x:xf>
    <x:xf numFmtId="0" fontId="7" fillId="4" borderId="14" xfId="0" applyNumberFormat="1" applyFont="1" applyFill="1" applyBorder="1" applyAlignment="1">
      <x:alignment horizontal="center" vertical="center" wrapText="1"/>
    </x:xf>
    <x:xf numFmtId="0" fontId="8" fillId="4" borderId="14" xfId="0" applyNumberFormat="1" applyFont="1" applyFill="1" applyBorder="1" applyAlignment="1">
      <x:alignment horizontal="center" vertical="center"/>
    </x:xf>
    <x:xf numFmtId="0" fontId="19" fillId="14" borderId="14" xfId="0" applyNumberFormat="1" applyFont="1" applyFill="1" applyBorder="1" applyAlignment="1">
      <x:alignment horizontal="center" vertical="center" wrapText="1"/>
    </x:xf>
    <x:xf numFmtId="201" fontId="37" fillId="5" borderId="14" xfId="0" applyNumberFormat="1" applyFont="1" applyFill="1" applyBorder="1" applyAlignment="1">
      <x:alignment horizontal="center" vertical="center"/>
    </x:xf>
    <x:xf numFmtId="200" fontId="20" fillId="5" borderId="14" xfId="0" applyNumberFormat="1" applyFont="1" applyFill="1" applyBorder="1" applyAlignment="1">
      <x:alignment horizontal="center" vertical="center"/>
    </x:xf>
    <x:xf numFmtId="0" fontId="21" fillId="5" borderId="14" xfId="0" applyNumberFormat="1" applyFont="1" applyFill="1" applyBorder="1" applyAlignment="1">
      <x:alignment horizontal="left" vertical="center" wrapText="1"/>
    </x:xf>
    <x:xf numFmtId="201" fontId="37" fillId="6" borderId="14" xfId="0" applyNumberFormat="1" applyFont="1" applyFill="1" applyBorder="1" applyAlignment="1">
      <x:alignment horizontal="center" vertical="center"/>
    </x:xf>
    <x:xf numFmtId="200" fontId="20" fillId="6" borderId="14" xfId="0" applyNumberFormat="1" applyFont="1" applyFill="1" applyBorder="1" applyAlignment="1">
      <x:alignment horizontal="center" vertical="center"/>
    </x:xf>
    <x:xf numFmtId="0" fontId="21" fillId="6" borderId="14" xfId="0" applyNumberFormat="1" applyFont="1" applyFill="1" applyBorder="1" applyAlignment="1">
      <x:alignment horizontal="left" vertical="center" wrapText="1"/>
    </x:xf>
    <x:xf numFmtId="0" fontId="22" fillId="0" borderId="14" xfId="0" applyNumberFormat="1" applyFont="1" applyFill="1" applyBorder="1" applyAlignment="1">
      <x:alignment horizontal="left" vertical="center" wrapText="1"/>
    </x:xf>
    <x:xf numFmtId="0" fontId="42" fillId="0" borderId="14" xfId="0" applyNumberFormat="1" applyFont="1" applyFill="1" applyBorder="1" applyAlignment="1">
      <x:alignment vertical="center"/>
    </x:xf>
    <x:xf numFmtId="0" fontId="19" fillId="22" borderId="14" xfId="0" applyNumberFormat="1" applyFont="1" applyFill="1" applyBorder="1" applyAlignment="1">
      <x:alignment horizontal="center" vertical="center" wrapText="1"/>
    </x:xf>
    <x:xf numFmtId="201" fontId="37" fillId="22" borderId="14" xfId="0" applyNumberFormat="1" applyFont="1" applyFill="1" applyBorder="1" applyAlignment="1">
      <x:alignment horizontal="center" vertical="center"/>
    </x:xf>
    <x:xf numFmtId="200" fontId="20" fillId="22" borderId="14" xfId="0" applyNumberFormat="1" applyFont="1" applyFill="1" applyBorder="1" applyAlignment="1">
      <x:alignment horizontal="center" vertical="center"/>
    </x:xf>
    <x:xf numFmtId="0" fontId="21" fillId="22" borderId="14" xfId="0" applyNumberFormat="1" applyFont="1" applyFill="1" applyBorder="1" applyAlignment="1">
      <x:alignment horizontal="left" vertical="center" wrapText="1"/>
    </x:xf>
    <x:xf numFmtId="0" fontId="22" fillId="22" borderId="14" xfId="0" applyNumberFormat="1" applyFont="1" applyFill="1" applyBorder="1" applyAlignment="1">
      <x:alignment horizontal="left" vertical="center" wrapText="1"/>
    </x:xf>
    <x:xf numFmtId="0" fontId="42" fillId="22" borderId="14" xfId="0" applyNumberFormat="1" applyFont="1" applyFill="1" applyBorder="1" applyAlignment="1">
      <x:alignment vertical="center"/>
    </x:xf>
    <x:xf numFmtId="0" fontId="54" fillId="22" borderId="14" xfId="0" applyNumberFormat="1" applyFont="1" applyFill="1" applyBorder="1" applyAlignment="1">
      <x:alignment horizontal="left" vertical="center" wrapText="1"/>
    </x:xf>
    <x:xf numFmtId="0" fontId="54" fillId="22" borderId="14" xfId="0" applyNumberFormat="1" applyFont="1" applyFill="1" applyBorder="1" applyAlignment="1">
      <x:alignment vertical="center"/>
    </x:xf>
    <x:xf numFmtId="0" fontId="55" fillId="22" borderId="14" xfId="0" applyNumberFormat="1" applyFont="1" applyFill="1" applyBorder="1" applyAlignment="1">
      <x:alignment horizontal="left" vertical="center" wrapText="1"/>
    </x:xf>
    <x:xf numFmtId="0" fontId="56" fillId="22" borderId="14" xfId="0" applyNumberFormat="1" applyFont="1" applyFill="1" applyBorder="1" applyAlignment="1">
      <x:alignment horizontal="left" vertical="center" wrapText="1"/>
    </x:xf>
    <x:xf numFmtId="0" fontId="54" fillId="23" borderId="14" xfId="0" applyNumberFormat="1" applyFont="1" applyFill="1" applyBorder="1" applyAlignment="1">
      <x:alignment horizontal="left" vertical="center" wrapText="1"/>
    </x:xf>
    <x:xf numFmtId="0" fontId="55" fillId="23" borderId="14" xfId="0" applyNumberFormat="1" applyFont="1" applyFill="1" applyBorder="1" applyAlignment="1">
      <x:alignment horizontal="left" vertical="center" wrapText="1"/>
    </x:xf>
    <x:xf numFmtId="0" fontId="56" fillId="23" borderId="14" xfId="0" applyNumberFormat="1" applyFont="1" applyFill="1" applyBorder="1" applyAlignment="1">
      <x:alignment horizontal="left" vertical="center" wrapText="1"/>
    </x:xf>
    <x:xf numFmtId="0" fontId="52" fillId="25" borderId="14" xfId="0" applyNumberFormat="1" applyFont="1" applyFill="1" applyBorder="1" applyAlignment="1">
      <x:alignment horizontal="left" vertical="center" wrapText="1"/>
    </x:xf>
    <x:xf numFmtId="0" fontId="57" fillId="22" borderId="14" xfId="0" applyNumberFormat="1" applyFont="1" applyFill="1" applyBorder="1" applyAlignment="1">
      <x:alignment horizontal="left" vertical="center" wrapText="1"/>
    </x:xf>
    <x:xf numFmtId="0" fontId="57" fillId="22" borderId="14" xfId="0" applyNumberFormat="1" applyFont="1" applyFill="1" applyBorder="1" applyAlignment="1">
      <x:alignment vertical="center"/>
    </x:xf>
    <x:xf numFmtId="0" fontId="7" fillId="7" borderId="14" xfId="0" applyNumberFormat="1" applyFont="1" applyFill="1" applyBorder="1" applyAlignment="1">
      <x:alignment horizontal="center" vertical="center" wrapText="1"/>
    </x:xf>
    <x:xf numFmtId="0" fontId="8" fillId="7" borderId="14" xfId="0" applyNumberFormat="1" applyFont="1" applyFill="1" applyBorder="1" applyAlignment="1">
      <x:alignment horizontal="center" vertical="center"/>
    </x:xf>
    <x:xf numFmtId="0" fontId="23" fillId="14" borderId="14" xfId="0" applyNumberFormat="1" applyFont="1" applyFill="1" applyBorder="1" applyAlignment="1">
      <x:alignment horizontal="center" vertical="center" wrapText="1"/>
    </x:xf>
    <x:xf numFmtId="201" fontId="37" fillId="8" borderId="14" xfId="0" applyNumberFormat="1" applyFont="1" applyFill="1" applyBorder="1" applyAlignment="1">
      <x:alignment horizontal="center" vertical="center"/>
    </x:xf>
    <x:xf numFmtId="200" fontId="20" fillId="8" borderId="14" xfId="0" applyNumberFormat="1" applyFont="1" applyFill="1" applyBorder="1" applyAlignment="1">
      <x:alignment horizontal="center" vertical="center"/>
    </x:xf>
    <x:xf numFmtId="0" fontId="21" fillId="8" borderId="14" xfId="0" applyNumberFormat="1" applyFont="1" applyFill="1" applyBorder="1" applyAlignment="1">
      <x:alignment horizontal="left" vertical="center" wrapText="1"/>
    </x:xf>
    <x:xf numFmtId="201" fontId="37" fillId="9" borderId="14" xfId="0" applyNumberFormat="1" applyFont="1" applyFill="1" applyBorder="1" applyAlignment="1">
      <x:alignment horizontal="center" vertical="center"/>
    </x:xf>
    <x:xf numFmtId="200" fontId="20" fillId="9" borderId="14" xfId="0" applyNumberFormat="1" applyFont="1" applyFill="1" applyBorder="1" applyAlignment="1">
      <x:alignment horizontal="center" vertical="center"/>
    </x:xf>
    <x:xf numFmtId="0" fontId="21" fillId="9" borderId="14" xfId="0" applyNumberFormat="1" applyFont="1" applyFill="1" applyBorder="1" applyAlignment="1">
      <x:alignment horizontal="left" vertical="center" wrapText="1"/>
    </x:xf>
    <x:xf numFmtId="0" fontId="23" fillId="22" borderId="14" xfId="0" applyNumberFormat="1" applyFont="1" applyFill="1" applyBorder="1" applyAlignment="1">
      <x:alignment horizontal="center" vertical="center" wrapText="1"/>
    </x:xf>
    <x:xf numFmtId="0" fontId="52" fillId="27" borderId="14" xfId="0" applyNumberFormat="1" applyFont="1" applyFill="1" applyBorder="1" applyAlignment="1">
      <x:alignment horizontal="left" vertical="center" wrapText="1"/>
    </x:xf>
    <x:xf numFmtId="0" fontId="7" fillId="10" borderId="14" xfId="0" applyNumberFormat="1" applyFont="1" applyFill="1" applyBorder="1" applyAlignment="1">
      <x:alignment horizontal="center" vertical="center" wrapText="1"/>
    </x:xf>
    <x:xf numFmtId="0" fontId="8" fillId="10" borderId="14" xfId="0" applyNumberFormat="1" applyFont="1" applyFill="1" applyBorder="1" applyAlignment="1">
      <x:alignment horizontal="center" vertical="center"/>
    </x:xf>
    <x:xf numFmtId="0" fontId="24" fillId="14" borderId="14" xfId="0" applyNumberFormat="1" applyFont="1" applyFill="1" applyBorder="1" applyAlignment="1">
      <x:alignment horizontal="center" vertical="center" wrapText="1"/>
    </x:xf>
    <x:xf numFmtId="201" fontId="37" fillId="11" borderId="14" xfId="0" applyNumberFormat="1" applyFont="1" applyFill="1" applyBorder="1" applyAlignment="1">
      <x:alignment horizontal="center" vertical="center"/>
    </x:xf>
    <x:xf numFmtId="200" fontId="20" fillId="11" borderId="14" xfId="0" applyNumberFormat="1" applyFont="1" applyFill="1" applyBorder="1" applyAlignment="1">
      <x:alignment horizontal="center" vertical="center"/>
    </x:xf>
    <x:xf numFmtId="0" fontId="21" fillId="11" borderId="14" xfId="0" applyNumberFormat="1" applyFont="1" applyFill="1" applyBorder="1" applyAlignment="1">
      <x:alignment horizontal="left" vertical="center" wrapText="1"/>
    </x:xf>
    <x:xf numFmtId="201" fontId="37" fillId="12" borderId="14" xfId="0" applyNumberFormat="1" applyFont="1" applyFill="1" applyBorder="1" applyAlignment="1">
      <x:alignment horizontal="center" vertical="center"/>
    </x:xf>
    <x:xf numFmtId="200" fontId="20" fillId="12" borderId="14" xfId="0" applyNumberFormat="1" applyFont="1" applyFill="1" applyBorder="1" applyAlignment="1">
      <x:alignment horizontal="center" vertical="center"/>
    </x:xf>
    <x:xf numFmtId="0" fontId="21" fillId="12" borderId="14" xfId="0" applyNumberFormat="1" applyFont="1" applyFill="1" applyBorder="1" applyAlignment="1">
      <x:alignment horizontal="left" vertical="center" wrapText="1"/>
    </x:xf>
    <x:xf numFmtId="0" fontId="24" fillId="22" borderId="14" xfId="0" applyNumberFormat="1" applyFont="1" applyFill="1" applyBorder="1" applyAlignment="1">
      <x:alignment horizontal="center" vertical="center" wrapText="1"/>
    </x:xf>
    <x:xf numFmtId="0" fontId="52" fillId="29" borderId="14" xfId="0" applyNumberFormat="1" applyFont="1" applyFill="1" applyBorder="1" applyAlignment="1">
      <x:alignment horizontal="left" vertical="center" wrapText="1"/>
    </x:xf>
    <x:xf numFmtId="0" fontId="7" fillId="13" borderId="14" xfId="0" applyNumberFormat="1" applyFont="1" applyFill="1" applyBorder="1" applyAlignment="1">
      <x:alignment horizontal="center" vertical="center" wrapText="1"/>
    </x:xf>
    <x:xf numFmtId="0" fontId="8" fillId="13" borderId="14" xfId="0" applyNumberFormat="1" applyFont="1" applyFill="1" applyBorder="1" applyAlignment="1">
      <x:alignment horizontal="center" vertical="center"/>
    </x:xf>
    <x:xf numFmtId="0" fontId="25" fillId="14" borderId="14" xfId="0" applyNumberFormat="1" applyFont="1" applyFill="1" applyBorder="1" applyAlignment="1">
      <x:alignment horizontal="center" vertical="center" wrapText="1"/>
    </x:xf>
    <x:xf numFmtId="201" fontId="37" fillId="14" borderId="14" xfId="0" applyNumberFormat="1" applyFont="1" applyFill="1" applyBorder="1" applyAlignment="1">
      <x:alignment horizontal="center" vertical="center"/>
    </x:xf>
    <x:xf numFmtId="200" fontId="20" fillId="14" borderId="14" xfId="0" applyNumberFormat="1" applyFont="1" applyFill="1" applyBorder="1" applyAlignment="1">
      <x:alignment horizontal="center" vertical="center"/>
    </x:xf>
    <x:xf numFmtId="0" fontId="21" fillId="14" borderId="14" xfId="0" applyNumberFormat="1" applyFont="1" applyFill="1" applyBorder="1" applyAlignment="1">
      <x:alignment horizontal="left" vertical="center" wrapText="1"/>
    </x:xf>
    <x:xf numFmtId="201" fontId="37" fillId="15" borderId="14" xfId="0" applyNumberFormat="1" applyFont="1" applyFill="1" applyBorder="1" applyAlignment="1">
      <x:alignment horizontal="center" vertical="center"/>
    </x:xf>
    <x:xf numFmtId="200" fontId="20" fillId="15" borderId="14" xfId="0" applyNumberFormat="1" applyFont="1" applyFill="1" applyBorder="1" applyAlignment="1">
      <x:alignment horizontal="center" vertical="center"/>
    </x:xf>
    <x:xf numFmtId="0" fontId="21" fillId="15" borderId="14" xfId="0" applyNumberFormat="1" applyFont="1" applyFill="1" applyBorder="1" applyAlignment="1">
      <x:alignment horizontal="left" vertical="center" wrapText="1"/>
    </x:xf>
    <x:xf numFmtId="0" fontId="25" fillId="22" borderId="14" xfId="0" applyNumberFormat="1" applyFont="1" applyFill="1" applyBorder="1" applyAlignment="1">
      <x:alignment horizontal="center" vertical="center" wrapText="1"/>
    </x:xf>
    <x:xf numFmtId="0" fontId="52" fillId="31" borderId="14" xfId="0" applyNumberFormat="1" applyFont="1" applyFill="1" applyBorder="1" applyAlignment="1">
      <x:alignment horizontal="left" vertical="center" wrapText="1"/>
    </x:xf>
    <x:xf numFmtId="0" fontId="40" fillId="0" borderId="14" xfId="0" applyNumberFormat="1" applyFont="1" applyFill="1" applyBorder="1" applyAlignment="1">
      <x:alignment vertical="center"/>
    </x:xf>
    <x:xf numFmtId="0" fontId="39" fillId="0" borderId="14" xfId="0" applyNumberFormat="1" applyFont="1" applyFill="1" applyBorder="1" applyAlignment="1">
      <x:alignment vertical="center"/>
    </x:xf>
    <x:xf numFmtId="200" fontId="41" fillId="0" borderId="14" xfId="0" applyNumberFormat="1" applyFont="1" applyFill="1" applyBorder="1" applyAlignment="1">
      <x:alignment horizontal="left" vertical="center"/>
    </x:xf>
    <x:xf numFmtId="0" fontId="41" fillId="0" borderId="14" xfId="0" applyNumberFormat="1" applyFont="1" applyFill="1" applyBorder="1" applyAlignment="1">
      <x:alignment horizontal="left" vertical="center"/>
    </x:xf>
    <x:xf numFmtId="0" fontId="39" fillId="0" borderId="14" xfId="0" applyNumberFormat="1" applyFont="1" applyFill="1" applyBorder="1" applyAlignment="1">
      <x:alignment horizontal="left" vertical="center"/>
    </x:xf>
    <x:xf numFmtId="0" fontId="17" fillId="19" borderId="14" xfId="0" applyNumberFormat="1" applyFont="1" applyFill="1" applyBorder="1" applyAlignment="1">
      <x:alignment vertical="center" wrapText="1"/>
    </x:xf>
    <x:xf numFmtId="200" fontId="39" fillId="0" borderId="14" xfId="0" applyNumberFormat="1" applyFont="1" applyFill="1" applyBorder="1" applyAlignment="1">
      <x:alignment vertical="center"/>
    </x:xf>
    <x:xf numFmtId="0" fontId="39" fillId="0" borderId="14" xfId="0" applyNumberFormat="1" applyFont="1" applyFill="1" applyBorder="1" applyAlignment="1">
      <x:alignment vertical="center" wrapText="1"/>
    </x:xf>
    <x:xf numFmtId="202" fontId="39" fillId="0" borderId="14" xfId="0" applyNumberFormat="1" applyFont="1" applyFill="1" applyBorder="1" applyAlignment="1">
      <x:alignment vertical="center"/>
    </x:xf>
    <x:xf numFmtId="202" fontId="33" fillId="0" borderId="14" xfId="0" applyNumberFormat="1" applyFont="1" applyFill="1" applyBorder="1" applyAlignment="1">
      <x:alignment vertical="center"/>
    </x:xf>
    <x:xf numFmtId="200" fontId="33" fillId="0" borderId="14" xfId="0" applyNumberFormat="1" applyFont="1" applyFill="1" applyBorder="1" applyAlignment="1">
      <x:alignment vertical="center"/>
    </x:xf>
    <x:xf numFmtId="0" fontId="40" fillId="22" borderId="14" xfId="0" applyNumberFormat="1" applyFont="1" applyFill="1" applyBorder="1" applyAlignment="1">
      <x:alignment vertical="center"/>
    </x:xf>
    <x:xf numFmtId="0" fontId="39" fillId="22" borderId="14" xfId="0" applyNumberFormat="1" applyFont="1" applyFill="1" applyBorder="1" applyAlignment="1">
      <x:alignment vertical="center"/>
    </x:xf>
    <x:xf numFmtId="200" fontId="41" fillId="22" borderId="14" xfId="0" applyNumberFormat="1" applyFont="1" applyFill="1" applyBorder="1" applyAlignment="1">
      <x:alignment horizontal="left" vertical="center"/>
    </x:xf>
    <x:xf numFmtId="0" fontId="41" fillId="22" borderId="14" xfId="0" applyNumberFormat="1" applyFont="1" applyFill="1" applyBorder="1" applyAlignment="1">
      <x:alignment horizontal="left" vertical="center"/>
    </x:xf>
    <x:xf numFmtId="0" fontId="39" fillId="22" borderId="14" xfId="0" applyNumberFormat="1" applyFont="1" applyFill="1" applyBorder="1" applyAlignment="1">
      <x:alignment horizontal="left" vertical="center"/>
    </x:xf>
    <x:xf numFmtId="0" fontId="17" fillId="22" borderId="14" xfId="0" applyNumberFormat="1" applyFont="1" applyFill="1" applyBorder="1" applyAlignment="1">
      <x:alignment vertical="center" wrapText="1"/>
    </x:xf>
    <x:xf numFmtId="200" fontId="39" fillId="22" borderId="14" xfId="0" applyNumberFormat="1" applyFont="1" applyFill="1" applyBorder="1" applyAlignment="1">
      <x:alignment vertical="center"/>
    </x:xf>
    <x:xf numFmtId="0" fontId="39" fillId="22" borderId="14" xfId="0" applyNumberFormat="1" applyFont="1" applyFill="1" applyBorder="1" applyAlignment="1">
      <x:alignment vertical="center" wrapText="1"/>
    </x:xf>
    <x:xf numFmtId="202" fontId="39" fillId="22" borderId="14" xfId="0" applyNumberFormat="1" applyFont="1" applyFill="1" applyBorder="1" applyAlignment="1">
      <x:alignment vertical="center"/>
    </x:xf>
    <x:xf numFmtId="202" fontId="33" fillId="22" borderId="14" xfId="0" applyNumberFormat="1" applyFont="1" applyFill="1" applyBorder="1" applyAlignment="1">
      <x:alignment vertical="center"/>
    </x:xf>
    <x:xf numFmtId="200" fontId="43" fillId="22" borderId="14" xfId="0" applyNumberFormat="1" applyFont="1" applyFill="1" applyBorder="1" applyAlignment="1">
      <x:alignment horizontal="left" vertical="center"/>
    </x:xf>
    <x:xf numFmtId="0" fontId="43" fillId="22" borderId="14" xfId="0" applyNumberFormat="1" applyFont="1" applyFill="1" applyBorder="1" applyAlignment="1">
      <x:alignment horizontal="left" vertical="center"/>
    </x:xf>
    <x:xf numFmtId="202" fontId="43" fillId="22" borderId="14" xfId="0" applyNumberFormat="1" applyFont="1" applyFill="1" applyBorder="1" applyAlignment="1">
      <x:alignment vertical="center"/>
    </x:xf>
    <x:xf numFmtId="0" fontId="58" fillId="22" borderId="14" xfId="0" applyNumberFormat="1" applyFont="1" applyFill="1" applyBorder="1" applyAlignment="1">
      <x:alignment vertical="center"/>
    </x:xf>
    <x:xf numFmtId="0" fontId="59" fillId="22" borderId="14" xfId="0" applyNumberFormat="1" applyFont="1" applyFill="1" applyBorder="1" applyAlignment="1">
      <x:alignment vertical="center"/>
    </x:xf>
    <x:xf numFmtId="200" fontId="43" fillId="32" borderId="14" xfId="0" applyNumberFormat="1" applyFont="1" applyFill="1" applyBorder="1" applyAlignment="1">
      <x:alignment horizontal="left" vertical="center"/>
    </x:xf>
    <x:xf numFmtId="0" fontId="60" fillId="32" borderId="14" xfId="0" applyNumberFormat="1" applyFont="1" applyFill="1" applyBorder="1" applyAlignment="1">
      <x:alignment vertical="center"/>
    </x:xf>
    <x:xf numFmtId="200" fontId="60" fillId="32" borderId="14" xfId="0" applyNumberFormat="1" applyFont="1" applyFill="1" applyBorder="1" applyAlignment="1">
      <x:alignment horizontal="left" vertical="center"/>
    </x:xf>
    <x:xf numFmtId="200" fontId="61" fillId="32" borderId="14" xfId="0" applyNumberFormat="1" applyFont="1" applyFill="1" applyBorder="1" applyAlignment="1">
      <x:alignment horizontal="left" vertical="center"/>
    </x:xf>
    <x:xf numFmtId="0" fontId="43" fillId="35" borderId="14" xfId="0" applyNumberFormat="1" applyFont="1" applyFill="1" applyBorder="1" applyAlignment="1">
      <x:alignment vertical="center"/>
    </x:xf>
    <x:xf numFmtId="0" fontId="43" fillId="35" borderId="14" xfId="0" applyNumberFormat="1" applyFont="1" applyFill="1" applyBorder="1" applyAlignment="1">
      <x:alignment horizontal="left" vertical="center"/>
    </x:xf>
    <x:xf numFmtId="0" fontId="43" fillId="36" borderId="14" xfId="0" applyNumberFormat="1" applyFont="1" applyFill="1" applyBorder="1" applyAlignment="1">
      <x:alignment vertical="center"/>
    </x:xf>
    <x:xf numFmtId="0" fontId="43" fillId="36" borderId="14" xfId="0" applyNumberFormat="1" applyFont="1" applyFill="1" applyBorder="1" applyAlignment="1">
      <x:alignment horizontal="left" vertical="center"/>
    </x:xf>
    <x:xf numFmtId="0" fontId="62" fillId="35" borderId="14" xfId="0" applyNumberFormat="1" applyFont="1" applyFill="1" applyBorder="1" applyAlignment="1">
      <x:alignment horizontal="left" vertical="center"/>
    </x:xf>
    <x:xf numFmtId="0" fontId="63" fillId="36" borderId="14" xfId="0" applyNumberFormat="1" applyFont="1" applyFill="1" applyBorder="1" applyAlignment="1">
      <x:alignment horizontal="left" vertical="center"/>
    </x:xf>
    <x:xf numFmtId="0" fontId="64" fillId="32" borderId="14" xfId="0" applyNumberFormat="1" applyFont="1" applyFill="1" applyBorder="1" applyAlignment="1">
      <x:alignment vertical="center"/>
    </x:xf>
    <x:xf numFmtId="0" fontId="50" fillId="35" borderId="14" xfId="0" applyNumberFormat="1" applyFont="1" applyFill="1" applyBorder="1" applyAlignment="1">
      <x:alignment vertical="center"/>
    </x:xf>
    <x:xf numFmtId="0" fontId="65" fillId="36" borderId="14" xfId="0" applyNumberFormat="1" applyFont="1" applyFill="1" applyBorder="1" applyAlignment="1">
      <x:alignment vertical="center"/>
    </x:xf>
    <x:xf numFmtId="0" fontId="43" fillId="37" borderId="14" xfId="0" applyNumberFormat="1" applyFont="1" applyFill="1" applyBorder="1" applyAlignment="1">
      <x:alignment vertical="center"/>
    </x:xf>
    <x:xf numFmtId="0" fontId="66" fillId="37" borderId="14" xfId="0" applyNumberFormat="1" applyFont="1" applyFill="1" applyBorder="1" applyAlignment="1">
      <x:alignment vertical="center"/>
    </x:xf>
    <x:xf numFmtId="0" fontId="67" fillId="37" borderId="14" xfId="0" applyNumberFormat="1" applyFont="1" applyFill="1" applyBorder="1" applyAlignment="1">
      <x:alignment vertical="center"/>
    </x:xf>
    <x:xf numFmtId="0" fontId="60" fillId="32" borderId="15" xfId="0" applyNumberFormat="1" applyFont="1" applyFill="1" applyBorder="1" applyAlignment="1">
      <x:alignment vertical="center"/>
    </x:xf>
    <x:xf numFmtId="200" fontId="61" fillId="32" borderId="15" xfId="0" applyNumberFormat="1" applyFont="1" applyFill="1" applyBorder="1" applyAlignment="1">
      <x:alignment horizontal="left" vertical="center"/>
    </x:xf>
    <x:xf numFmtId="0" fontId="64" fillId="32" borderId="15" xfId="0" applyNumberFormat="1" applyFont="1" applyFill="1" applyBorder="1" applyAlignment="1">
      <x:alignment vertical="center"/>
    </x:xf>
    <x:xf numFmtId="0" fontId="43" fillId="35" borderId="16" xfId="0" applyNumberFormat="1" applyFont="1" applyFill="1" applyBorder="1" applyAlignment="1">
      <x:alignment vertical="center"/>
    </x:xf>
    <x:xf numFmtId="0" fontId="62" fillId="35" borderId="16" xfId="0" applyNumberFormat="1" applyFont="1" applyFill="1" applyBorder="1" applyAlignment="1">
      <x:alignment horizontal="left" vertical="center"/>
    </x:xf>
    <x:xf numFmtId="0" fontId="50" fillId="35" borderId="16" xfId="0" applyNumberFormat="1" applyFont="1" applyFill="1" applyBorder="1" applyAlignment="1">
      <x:alignment vertical="center"/>
    </x:xf>
    <x:xf numFmtId="0" fontId="43" fillId="36" borderId="17" xfId="0" applyNumberFormat="1" applyFont="1" applyFill="1" applyBorder="1" applyAlignment="1">
      <x:alignment vertical="center"/>
    </x:xf>
    <x:xf numFmtId="0" fontId="63" fillId="36" borderId="17" xfId="0" applyNumberFormat="1" applyFont="1" applyFill="1" applyBorder="1" applyAlignment="1">
      <x:alignment horizontal="left" vertical="center"/>
    </x:xf>
    <x:xf numFmtId="0" fontId="65" fillId="36" borderId="17" xfId="0" applyNumberFormat="1" applyFont="1" applyFill="1" applyBorder="1" applyAlignment="1">
      <x:alignment vertical="center"/>
    </x:xf>
    <x:xf numFmtId="0" fontId="66" fillId="37" borderId="18" xfId="0" applyNumberFormat="1" applyFont="1" applyFill="1" applyBorder="1" applyAlignment="1">
      <x:alignment vertical="center"/>
    </x:xf>
    <x:xf numFmtId="0" fontId="67" fillId="37" borderId="18" xfId="0" applyNumberFormat="1" applyFont="1" applyFill="1" applyBorder="1" applyAlignment="1">
      <x:alignment vertical="center"/>
    </x:xf>
    <x:xf numFmtId="0" fontId="60" fillId="32" borderId="15" xfId="0" applyNumberFormat="1" applyFont="1" applyFill="1" applyBorder="1" applyAlignment="1">
      <x:alignment horizontal="left" vertical="center"/>
    </x:xf>
    <x:xf numFmtId="0" fontId="43" fillId="35" borderId="16" xfId="0" applyNumberFormat="1" applyFont="1" applyFill="1" applyBorder="1" applyAlignment="1">
      <x:alignment horizontal="left" vertical="center"/>
    </x:xf>
    <x:xf numFmtId="0" fontId="43" fillId="36" borderId="17" xfId="0" applyNumberFormat="1" applyFont="1" applyFill="1" applyBorder="1" applyAlignment="1">
      <x:alignment horizontal="left" vertical="center"/>
    </x:xf>
    <x:xf numFmtId="0" fontId="66" fillId="37" borderId="18" xfId="0" applyNumberFormat="1" applyFont="1" applyFill="1" applyBorder="1" applyAlignment="1">
      <x:alignment horizontal="left" vertical="center"/>
    </x:xf>
    <x:xf numFmtId="0" fontId="67" fillId="37" borderId="18" xfId="0" applyNumberFormat="1" applyFont="1" applyFill="1" applyBorder="1" applyAlignment="1">
      <x:alignment horizontal="left" vertical="center"/>
    </x:xf>
    <x:xf numFmtId="0" fontId="64" fillId="32" borderId="15" xfId="0" applyNumberFormat="1" applyFont="1" applyFill="1" applyBorder="1" applyAlignment="1">
      <x:alignment horizontal="left" vertical="center"/>
    </x:xf>
    <x:xf numFmtId="0" fontId="50" fillId="35" borderId="16" xfId="0" applyNumberFormat="1" applyFont="1" applyFill="1" applyBorder="1" applyAlignment="1">
      <x:alignment horizontal="left" vertical="center"/>
    </x:xf>
    <x:xf numFmtId="0" fontId="65" fillId="36" borderId="17" xfId="0" applyNumberFormat="1" applyFont="1" applyFill="1" applyBorder="1" applyAlignment="1">
      <x:alignment horizontal="left" vertical="center"/>
    </x:xf>
    <x:xf numFmtId="0" fontId="43" fillId="32" borderId="14" xfId="0" applyNumberFormat="1" applyFont="1" applyFill="1" applyBorder="1" applyAlignment="1">
      <x:alignment vertical="center" wrapText="1"/>
    </x:xf>
    <x:xf numFmtId="0" fontId="43" fillId="25" borderId="14" xfId="0" applyNumberFormat="1" applyFont="1" applyFill="1" applyBorder="1" applyAlignment="1">
      <x:alignment vertical="center"/>
    </x:xf>
    <x:xf numFmtId="0" fontId="68" fillId="25" borderId="14" xfId="0" applyNumberFormat="1" applyFont="1" applyFill="1" applyBorder="1" applyAlignment="1">
      <x:alignment vertical="center"/>
    </x:xf>
    <x:xf numFmtId="0" fontId="43" fillId="27" borderId="14" xfId="0" applyNumberFormat="1" applyFont="1" applyFill="1" applyBorder="1" applyAlignment="1">
      <x:alignment vertical="center"/>
    </x:xf>
    <x:xf numFmtId="0" fontId="69" fillId="27" borderId="14" xfId="0" applyNumberFormat="1" applyFont="1" applyFill="1" applyBorder="1" applyAlignment="1">
      <x:alignment vertical="center"/>
    </x:xf>
    <x:xf numFmtId="0" fontId="43" fillId="29" borderId="14" xfId="0" applyNumberFormat="1" applyFont="1" applyFill="1" applyBorder="1" applyAlignment="1">
      <x:alignment vertical="center"/>
    </x:xf>
    <x:xf numFmtId="0" fontId="70" fillId="29" borderId="14" xfId="0" applyNumberFormat="1" applyFont="1" applyFill="1" applyBorder="1" applyAlignment="1">
      <x:alignment vertical="center"/>
    </x:xf>
    <x:xf numFmtId="0" fontId="43" fillId="31" borderId="14" xfId="0" applyNumberFormat="1" applyFont="1" applyFill="1" applyBorder="1" applyAlignment="1">
      <x:alignment vertical="center"/>
    </x:xf>
    <x:xf numFmtId="0" fontId="71" fillId="31" borderId="14" xfId="0" applyNumberFormat="1" applyFont="1" applyFill="1" applyBorder="1" applyAlignment="1">
      <x:alignment vertical="center"/>
    </x:xf>
    <x:xf numFmtId="0" fontId="43" fillId="38" borderId="14" xfId="0" applyNumberFormat="1" applyFont="1" applyFill="1" applyBorder="1" applyAlignment="1">
      <x:alignment vertical="center"/>
    </x:xf>
    <x:xf numFmtId="0" fontId="48" fillId="38" borderId="14" xfId="0" applyNumberFormat="1" applyFont="1" applyFill="1" applyBorder="1" applyAlignment="1">
      <x:alignment vertical="center"/>
    </x:xf>
    <x:xf numFmtId="0" fontId="48" fillId="22" borderId="14" xfId="0" applyNumberFormat="1" applyFont="1" applyFill="1" applyBorder="1" applyAlignment="1">
      <x:alignment vertical="center"/>
    </x:xf>
    <x:xf numFmtId="0" fontId="43" fillId="25" borderId="14" xfId="0" applyNumberFormat="1" applyFont="1" applyFill="1" applyBorder="1" applyAlignment="1">
      <x:alignment vertical="center" wrapText="1"/>
    </x:xf>
    <x:xf numFmtId="0" fontId="50" fillId="22" borderId="14" xfId="0" applyNumberFormat="1" applyFont="1" applyFill="1" applyBorder="1" applyAlignment="1">
      <x:alignment vertical="center" wrapText="1"/>
    </x:xf>
    <x:xf numFmtId="0" fontId="43" fillId="27" borderId="14" xfId="0" applyNumberFormat="1" applyFont="1" applyFill="1" applyBorder="1" applyAlignment="1">
      <x:alignment vertical="center" wrapText="1"/>
    </x:xf>
    <x:xf numFmtId="0" fontId="43" fillId="29" borderId="14" xfId="0" applyNumberFormat="1" applyFont="1" applyFill="1" applyBorder="1" applyAlignment="1">
      <x:alignment vertical="center" wrapText="1"/>
    </x:xf>
    <x:xf numFmtId="0" fontId="43" fillId="31" borderId="14" xfId="0" applyNumberFormat="1" applyFont="1" applyFill="1" applyBorder="1" applyAlignment="1">
      <x:alignment vertical="center" wrapText="1"/>
    </x:xf>
    <x:xf numFmtId="0" fontId="72" fillId="23" borderId="14" xfId="0" applyNumberFormat="1" applyFont="1" applyFill="1" applyBorder="1" applyAlignment="1">
      <x:alignment vertical="center"/>
    </x:xf>
    <x:xf numFmtId="0" fontId="50" fillId="23" borderId="14" xfId="0" applyNumberFormat="1" applyFont="1" applyFill="1" applyBorder="1" applyAlignment="1">
      <x:alignment vertical="center"/>
    </x:xf>
    <x:xf numFmtId="0" fontId="0" fillId="32" borderId="0" xfId="0" applyNumberFormat="1" applyFont="1" applyFill="1" applyBorder="1"/>
    <x:xf numFmtId="0" fontId="17" fillId="32" borderId="0" xfId="0" applyNumberFormat="1" applyFont="1" applyFill="1" applyBorder="1"/>
    <x:xf numFmtId="0" fontId="17" fillId="32" borderId="0" xfId="0" applyNumberFormat="1" applyFont="1" applyFill="1" applyBorder="1" applyAlignment="1">
      <x:alignment wrapText="1"/>
    </x:xf>
    <x:xf numFmtId="0" fontId="17" fillId="32" borderId="0" xfId="0" applyNumberFormat="1" applyFont="1" applyFill="1" applyBorder="1" applyAlignment="1">
      <x:alignment horizontal="center" wrapText="1"/>
    </x:xf>
    <x:xf numFmtId="0" fontId="17" fillId="32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201" fontId="43" fillId="23" borderId="14" xfId="0" applyNumberFormat="1" applyFont="1" applyFill="1" applyBorder="1" applyAlignment="1">
      <x:alignment vertical="center"/>
    </x:xf>
    <x:xf numFmtId="200" fontId="43" fillId="23" borderId="14" xfId="0" applyNumberFormat="1" applyFont="1" applyFill="1" applyBorder="1" applyAlignment="1">
      <x:alignment vertical="center"/>
    </x:xf>
    <x:xf numFmtId="0" fontId="44" fillId="22" borderId="0" xfId="0" applyNumberFormat="1" applyFont="1" applyFill="1" applyBorder="1" applyAlignment="1">
      <x:alignment vertical="center"/>
    </x:xf>
    <x:xf numFmtId="0" fontId="43" fillId="22" borderId="0" xfId="0" applyNumberFormat="1" applyFont="1" applyFill="1" applyBorder="1" applyAlignment="1">
      <x:alignment vertical="center"/>
    </x:xf>
    <x:xf numFmtId="0" fontId="45" fillId="22" borderId="0" xfId="0" applyNumberFormat="1" applyFont="1" applyFill="1" applyBorder="1" applyAlignment="1">
      <x:alignment vertical="center"/>
    </x:xf>
    <x:xf numFmtId="0" fontId="46" fillId="22" borderId="0" xfId="0" applyNumberFormat="1" applyFont="1" applyFill="1" applyBorder="1" applyAlignment="1">
      <x:alignment vertical="center"/>
    </x:xf>
    <x:xf numFmtId="0" fontId="47" fillId="23" borderId="0" xfId="0" applyNumberFormat="1" applyFont="1" applyFill="1" applyBorder="1" applyAlignment="1">
      <x:alignment vertical="center"/>
    </x:xf>
    <x:xf numFmtId="0" fontId="30" fillId="24" borderId="0" xfId="0" applyNumberFormat="1" applyFont="1" applyFill="1" applyBorder="1" applyAlignment="1">
      <x:alignment vertical="center"/>
    </x:xf>
    <x:xf numFmtId="0" fontId="30" fillId="26" borderId="0" xfId="0" applyNumberFormat="1" applyFont="1" applyFill="1" applyBorder="1" applyAlignment="1">
      <x:alignment vertical="center"/>
    </x:xf>
    <x:xf numFmtId="0" fontId="43" fillId="25" borderId="0" xfId="0" applyNumberFormat="1" applyFont="1" applyFill="1" applyBorder="1" applyAlignment="1">
      <x:alignment vertical="center" wrapText="1"/>
    </x:xf>
    <x:xf numFmtId="0" fontId="43" fillId="27" borderId="0" xfId="0" applyNumberFormat="1" applyFont="1" applyFill="1" applyBorder="1" applyAlignment="1">
      <x:alignment vertical="center" wrapText="1"/>
    </x:xf>
    <x:xf numFmtId="0" fontId="30" fillId="28" borderId="0" xfId="0" applyNumberFormat="1" applyFont="1" applyFill="1" applyBorder="1" applyAlignment="1">
      <x:alignment vertical="center"/>
    </x:xf>
    <x:xf numFmtId="0" fontId="30" fillId="30" borderId="0" xfId="0" applyNumberFormat="1" applyFont="1" applyFill="1" applyBorder="1" applyAlignment="1">
      <x:alignment vertical="center"/>
    </x:xf>
    <x:xf numFmtId="0" fontId="43" fillId="29" borderId="0" xfId="0" applyNumberFormat="1" applyFont="1" applyFill="1" applyBorder="1" applyAlignment="1">
      <x:alignment vertical="center" wrapText="1"/>
    </x:xf>
    <x:xf numFmtId="0" fontId="43" fillId="31" borderId="0" xfId="0" applyNumberFormat="1" applyFont="1" applyFill="1" applyBorder="1" applyAlignment="1">
      <x:alignment vertical="center" wrapText="1"/>
    </x:xf>
    <x:xf numFmtId="0" fontId="48" fillId="22" borderId="0" xfId="0" applyNumberFormat="1" applyFont="1" applyFill="1" applyBorder="1" applyAlignment="1">
      <x:alignment vertical="center"/>
    </x:xf>
    <x:xf numFmtId="0" fontId="49" fillId="22" borderId="0" xfId="0" applyNumberFormat="1" applyFont="1" applyFill="1" applyBorder="1" applyAlignment="1">
      <x:alignment vertical="center"/>
    </x:xf>
    <x:xf numFmtId="0" fontId="43" fillId="22" borderId="0" xfId="0" applyNumberFormat="1" applyFont="1" applyFill="1" applyBorder="1" applyAlignment="1">
      <x:alignment vertical="center" wrapText="1"/>
    </x:xf>
    <x:xf numFmtId="0" fontId="50" fillId="2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182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  <x:dxf>
      <x:font>
        <x:b/>
        <x:color rgb="FF1E6548"/>
      </x:font>
      <x:fill>
        <x:patternFill patternType="solid">
          <x:bgColor rgb="FFE0F2E8"/>
        </x:patternFill>
      </x:fill>
    </x:dxf>
    <x:dxf>
      <x:font>
        <x:b/>
        <x:color rgb="FF99611B"/>
      </x:font>
      <x:fill>
        <x:patternFill patternType="solid">
          <x:bgColor rgb="FFFFF0D4"/>
        </x:patternFill>
      </x:fill>
    </x:dxf>
    <x:dxf>
      <x:font>
        <x:b/>
        <x:color rgb="FFA73838"/>
      </x:font>
      <x:fill>
        <x:patternFill patternType="solid">
          <x:bgColor rgb="FFFBE5E5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1A5E35"/>
      <x:rgbColor rgb="FF000080"/>
      <x:rgbColor rgb="FF777777"/>
      <x:rgbColor rgb="FF800080"/>
      <x:rgbColor rgb="FF008080"/>
      <x:rgbColor rgb="FFCCCCCC"/>
      <x:rgbColor rgb="FF888888"/>
      <x:rgbColor rgb="FFEBF3FA"/>
      <x:rgbColor rgb="FF555555"/>
      <x:rgbColor rgb="FFFDF3E5"/>
      <x:rgbColor rgb="FFD5EDDC"/>
      <x:rgbColor rgb="FF4B0082"/>
      <x:rgbColor rgb="FFFF8080"/>
      <x:rgbColor rgb="FF0066CC"/>
      <x:rgbColor rgb="FFE8DA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AF6EE"/>
      <x:rgbColor rgb="FFC6EFCE"/>
      <x:rgbColor rgb="FFFFEB9C"/>
      <x:rgbColor rgb="FFD6E4F0"/>
      <x:rgbColor rgb="FFFAE6CC"/>
      <x:rgbColor rgb="FFF4EEFF"/>
      <x:rgbColor rgb="FFFFC7CE"/>
      <x:rgbColor rgb="FF2F75B6"/>
      <x:rgbColor rgb="FF33CCCC"/>
      <x:rgbColor rgb="FF99CC00"/>
      <x:rgbColor rgb="FFFFCC00"/>
      <x:rgbColor rgb="FFFF9900"/>
      <x:rgbColor rgb="FFFF6600"/>
      <x:rgbColor rgb="FF666666"/>
      <x:rgbColor rgb="FF999999"/>
      <x:rgbColor rgb="FF1F3864"/>
      <x:rgbColor rgb="FF339966"/>
      <x:rgbColor rgb="FF444444"/>
      <x:rgbColor rgb="FF3A2000"/>
      <x:rgbColor rgb="FF7B3F00"/>
      <x:rgbColor rgb="FF5C4000"/>
      <x:rgbColor rgb="FF1F4E7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19112a1d6d4865" /><Relationship Type="http://schemas.openxmlformats.org/officeDocument/2006/relationships/theme" Target="/xl/theme/theme1.xml" Id="R68472a5b454a4312" /><Relationship Type="http://schemas.openxmlformats.org/officeDocument/2006/relationships/sharedStrings" Target="/xl/sharedStrings.xml" Id="R399e7c8a00c64cee" /><Relationship Type="http://schemas.openxmlformats.org/officeDocument/2006/relationships/worksheet" Target="/xl/worksheets/sheet1.xml" Id="R9cbc02ec5b4e4236" /><Relationship Type="http://schemas.openxmlformats.org/officeDocument/2006/relationships/worksheet" Target="/xl/worksheets/sheet2.xml" Id="Rb1763699f1c04b6b" /><Relationship Type="http://schemas.openxmlformats.org/officeDocument/2006/relationships/worksheet" Target="/xl/worksheets/sheet3.xml" Id="R71f327287f6d4798" /><Relationship Type="http://schemas.openxmlformats.org/officeDocument/2006/relationships/worksheet" Target="/xl/worksheets/sheet4.xml" Id="R8fddcd71d30444c2" /><Relationship Type="http://schemas.openxmlformats.org/officeDocument/2006/relationships/worksheet" Target="/xl/worksheets/sheet5.xml" Id="R15cca1ebf14d4a99" /><Relationship Type="http://schemas.openxmlformats.org/officeDocument/2006/relationships/worksheet" Target="/xl/worksheets/sheet6.xml" Id="Ra57eec925c614745" /><Relationship Type="http://schemas.openxmlformats.org/officeDocument/2006/relationships/worksheet" Target="/xl/worksheets/sheet7.xml" Id="R3bac820b8308447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fe656c30d5d441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Avance de las cuatro perspectivas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Cumplimiento</c:v>
          </c:tx>
          <c:spPr>
            <a:solidFill xmlns:a="http://schemas.openxmlformats.org/drawingml/2006/main">
              <a:srgbClr val="28765E"/>
            </a:solidFill>
          </c:spPr>
          <c:invertIfNegative val="0"/>
          <c:cat>
            <c:strRef>
              <c:f>'📈 Dashboard'!$B$12:$B$15</c:f>
              <c:strCache>
                <c:ptCount val="0"/>
              </c:strCache>
            </c:strRef>
          </c:cat>
          <c:val>
            <c:numRef>
              <c:f>'📈 Dashboard'!$C$12:$C$15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1.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DFE9E2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10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e656c30d5d44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6650111cc4604076" /></Relationships>
</file>

<file path=xl/worksheets/sheet1.xml><?xml version="1.0" encoding="utf-8"?>
<x:worksheet xmlns:x="http://schemas.openxmlformats.org/spreadsheetml/2006/main">
  <x:sheetPr>
    <x:tabColor rgb="FF183C35"/>
  </x:sheetPr>
  <x:sheetViews>
    <x:sheetView showGridLines="0" workbookViewId="0"/>
  </x:sheetViews>
  <x:sheetFormatPr baseColWidth="10" defaultColWidth="8.6640625" defaultRowHeight="15"/>
  <x:cols>
    <x:col min="1" max="1" width="3" hidden="0" customWidth="1"/>
    <x:col min="2" max="2" width="29" hidden="0" customWidth="1"/>
    <x:col min="3" max="3" width="18" hidden="0" customWidth="1"/>
    <x:col min="4" max="4" width="4" hidden="0" customWidth="1"/>
    <x:col min="5" max="5" width="29" hidden="0" customWidth="1"/>
    <x:col min="6" max="6" width="18" hidden="0" customWidth="1"/>
    <x:col min="7" max="7" width="4" hidden="0" customWidth="1"/>
    <x:col min="8" max="8" width="6" hidden="0" customWidth="1"/>
  </x:cols>
  <x:sheetData>
    <x:row r="2" ht="25" customHeight="1">
      <x:c r="B2" s="593" t="str">
        <x:v>TECHPERU SAC / 2025</x:v>
      </x:c>
      <x:c r="C2" s="593"/>
      <x:c r="D2" s="593"/>
      <x:c r="E2" s="593"/>
      <x:c r="F2" s="593"/>
      <x:c r="G2" s="313"/>
      <x:c r="H2" s="313"/>
    </x:row>
    <x:row r="3" ht="24" customHeight="1">
      <x:c r="B3" s="594"/>
      <x:c r="C3" s="594"/>
      <x:c r="D3" s="594"/>
      <x:c r="E3" s="594"/>
      <x:c r="F3" s="594"/>
      <x:c r="G3" s="313"/>
      <x:c r="H3" s="313"/>
    </x:row>
    <x:row r="4" ht="26" customHeight="1">
      <x:c r="B4" s="595" t="str">
        <x:v>Balanced Scorecard</x:v>
      </x:c>
      <x:c r="C4" s="595"/>
      <x:c r="D4" s="595"/>
      <x:c r="E4" s="595"/>
      <x:c r="F4" s="595"/>
      <x:c r="G4" s="313"/>
      <x:c r="H4" s="313"/>
    </x:row>
    <x:row r="5" ht="26" customHeight="1">
      <x:c r="B5" s="595"/>
      <x:c r="C5" s="595"/>
      <x:c r="D5" s="595"/>
      <x:c r="E5" s="595"/>
      <x:c r="F5" s="595"/>
      <x:c r="G5" s="313"/>
      <x:c r="H5" s="313"/>
    </x:row>
    <x:row r="6" ht="28" customHeight="1">
      <x:c r="B6" s="596" t="str">
        <x:v>Cuadro de mando integral</x:v>
      </x:c>
      <x:c r="C6" s="596"/>
      <x:c r="D6" s="596"/>
      <x:c r="E6" s="596"/>
      <x:c r="F6" s="596"/>
      <x:c r="G6" s="313"/>
      <x:c r="H6" s="313"/>
    </x:row>
    <x:row r="7" ht="32" customHeight="1">
      <x:c r="B7" s="594"/>
      <x:c r="C7" s="594"/>
      <x:c r="D7" s="594"/>
      <x:c r="E7" s="594"/>
      <x:c r="F7" s="594"/>
      <x:c r="G7" s="313"/>
      <x:c r="H7" s="313"/>
    </x:row>
    <x:row r="8" ht="34" customHeight="1">
      <x:c r="B8" s="597" t="str">
        <x:v>4 perspectivas     12 objetivos     36 indicadores</x:v>
      </x:c>
      <x:c r="C8" s="597"/>
      <x:c r="D8" s="597"/>
      <x:c r="E8" s="597"/>
      <x:c r="F8" s="597"/>
      <x:c r="G8" s="313"/>
      <x:c r="H8" s="313"/>
    </x:row>
    <x:row r="9" ht="32" customHeight="1">
      <x:c r="B9" s="594"/>
      <x:c r="C9" s="594"/>
      <x:c r="D9" s="594"/>
      <x:c r="E9" s="594"/>
      <x:c r="F9" s="594"/>
      <x:c r="G9" s="313"/>
      <x:c r="H9" s="313"/>
    </x:row>
    <x:row r="10" ht="32" customHeight="1">
      <x:c r="B10" s="598" t="str">
        <x:v>01 / Financiera</x:v>
      </x:c>
      <x:c r="C10" s="598"/>
      <x:c r="D10" s="594"/>
      <x:c r="E10" s="599" t="str">
        <x:v>02 / Clientes</x:v>
      </x:c>
      <x:c r="F10" s="599"/>
      <x:c r="G10" s="313"/>
      <x:c r="H10" s="313"/>
    </x:row>
    <x:row r="11" ht="25" customHeight="1">
      <x:c r="B11" s="600" t="str">
        <x:v>Rentabilidad, ingresos y eficiencia de costos.</x:v>
      </x:c>
      <x:c r="C11" s="600"/>
      <x:c r="D11" s="594"/>
      <x:c r="E11" s="601" t="str">
        <x:v>Satisfacción, retención y captación de clientes.</x:v>
      </x:c>
      <x:c r="F11" s="601"/>
      <x:c r="G11" s="313"/>
      <x:c r="H11" s="313"/>
    </x:row>
    <x:row r="12" ht="25" customHeight="1">
      <x:c r="B12" s="600"/>
      <x:c r="C12" s="600"/>
      <x:c r="D12" s="594"/>
      <x:c r="E12" s="601"/>
      <x:c r="F12" s="601"/>
      <x:c r="G12" s="313"/>
      <x:c r="H12" s="313"/>
    </x:row>
    <x:row r="13">
      <x:c r="B13" s="594"/>
      <x:c r="C13" s="594"/>
      <x:c r="D13" s="594"/>
      <x:c r="E13" s="594"/>
      <x:c r="F13" s="594"/>
      <x:c r="G13" s="313"/>
      <x:c r="H13" s="313"/>
    </x:row>
    <x:row r="14" ht="32" customHeight="1">
      <x:c r="B14" s="602" t="str">
        <x:v>03 / Procesos internos</x:v>
      </x:c>
      <x:c r="C14" s="602"/>
      <x:c r="D14" s="594"/>
      <x:c r="E14" s="603" t="str">
        <x:v>04 / Aprendizaje</x:v>
      </x:c>
      <x:c r="F14" s="603"/>
      <x:c r="G14" s="313"/>
      <x:c r="H14" s="313"/>
    </x:row>
    <x:row r="15" ht="25" customHeight="1">
      <x:c r="B15" s="604" t="str">
        <x:v>Calidad, tiempos, innovación y proveedores.</x:v>
      </x:c>
      <x:c r="C15" s="604"/>
      <x:c r="D15" s="594"/>
      <x:c r="E15" s="605" t="str">
        <x:v>Competencias, clima e innovación del equipo.</x:v>
      </x:c>
      <x:c r="F15" s="605"/>
      <x:c r="G15" s="313"/>
      <x:c r="H15" s="313"/>
    </x:row>
    <x:row r="16" ht="25" customHeight="1">
      <x:c r="B16" s="604"/>
      <x:c r="C16" s="604"/>
      <x:c r="D16" s="594"/>
      <x:c r="E16" s="605"/>
      <x:c r="F16" s="605"/>
      <x:c r="G16" s="313"/>
      <x:c r="H16" s="313"/>
    </x:row>
    <x:row r="17" ht="38" customHeight="1">
      <x:c r="B17" s="594"/>
      <x:c r="C17" s="594"/>
      <x:c r="D17" s="594"/>
      <x:c r="E17" s="594"/>
      <x:c r="F17" s="594"/>
      <x:c r="G17" s="313"/>
      <x:c r="H17" s="313"/>
    </x:row>
    <x:row r="18" ht="38" customHeight="1">
      <x:c r="B18" s="594"/>
      <x:c r="C18" s="594"/>
      <x:c r="D18" s="594"/>
      <x:c r="E18" s="594"/>
      <x:c r="F18" s="594"/>
      <x:c r="G18" s="313"/>
      <x:c r="H18" s="313"/>
    </x:row>
    <x:row r="19" ht="32" customHeight="1">
      <x:c r="B19" s="606" t="str">
        <x:v>Cómo trabajar con este archivo</x:v>
      </x:c>
      <x:c r="C19" s="606"/>
      <x:c r="D19" s="606"/>
      <x:c r="E19" s="606"/>
      <x:c r="F19" s="606"/>
      <x:c r="G19" s="313"/>
      <x:c r="H19" s="313"/>
    </x:row>
    <x:row r="20" ht="44" customHeight="1">
      <x:c r="B20" s="607" t="str">
        <x:v>01 / Registra</x:v>
      </x:c>
      <x:c r="C20" s="608" t="str">
        <x:v>En BSC Completo, modifica Meta y Real. Las entradas tienen fondo azul claro.</x:v>
      </x:c>
      <x:c r="D20" s="608"/>
      <x:c r="E20" s="608"/>
      <x:c r="F20" s="608"/>
      <x:c r="G20" s="313"/>
      <x:c r="H20" s="313"/>
    </x:row>
    <x:row r="21" ht="44" customHeight="1">
      <x:c r="B21" s="607" t="str">
        <x:v>02 / Revisa</x:v>
      </x:c>
      <x:c r="C21" s="608" t="str">
        <x:v>Consulta el dashboard y las hojas por perspectiva; se calculan automáticamente.</x:v>
      </x:c>
      <x:c r="D21" s="608"/>
      <x:c r="E21" s="608"/>
      <x:c r="F21" s="608"/>
      <x:c r="G21" s="313"/>
      <x:c r="H21" s="313"/>
    </x:row>
    <x:row r="22" ht="44" customHeight="1">
      <x:c r="B22" s="607" t="str">
        <x:v>03 / Interpreta</x:v>
      </x:c>
      <x:c r="C22" s="608" t="str">
        <x:v>Cumplido ≥100%. En riesgo ≥80% y &lt;100%. Crítico &lt;80%. Vacío = Sin datos.</x:v>
      </x:c>
      <x:c r="D22" s="608"/>
      <x:c r="E22" s="608"/>
      <x:c r="F22" s="608"/>
      <x:c r="G22" s="313"/>
      <x:c r="H22" s="313"/>
    </x:row>
    <x:row r="23" ht="44" customHeight="1">
      <x:c r="B23" s="607" t="str">
        <x:v>04 / Importa</x:v>
      </x:c>
      <x:c r="C23" s="608" t="str">
        <x:v>Guarda el Excel e impórtalo desde Reportes y Excel en el prototipo.</x:v>
      </x:c>
      <x:c r="D23" s="608"/>
      <x:c r="E23" s="608"/>
      <x:c r="F23" s="608"/>
      <x:c r="G23" s="313"/>
      <x:c r="H23" s="313"/>
    </x:row>
    <x:row r="24">
      <x:c r="B24" s="594"/>
      <x:c r="C24" s="594"/>
      <x:c r="D24" s="594"/>
      <x:c r="E24" s="594"/>
      <x:c r="F24" s="594"/>
      <x:c r="G24" s="313"/>
      <x:c r="H24" s="313"/>
    </x:row>
    <x:row r="25">
      <x:c r="B25" s="594"/>
      <x:c r="C25" s="594"/>
      <x:c r="D25" s="594"/>
      <x:c r="E25" s="594"/>
      <x:c r="F25" s="594"/>
      <x:c r="G25" s="313"/>
      <x:c r="H25" s="313"/>
    </x:row>
    <x:row r="26">
      <x:c r="B26" s="609" t="str">
        <x:v>Datos académicos de ejemplo. Período de referencia: 2025. Los porcentajes se introducen como 18 para 18%; S/ MM significa millones de soles.</x:v>
      </x:c>
      <x:c r="C26" s="609"/>
      <x:c r="D26" s="609"/>
      <x:c r="E26" s="609"/>
      <x:c r="F26" s="609"/>
      <x:c r="G26" s="313"/>
      <x:c r="H26" s="313"/>
    </x:row>
    <x:row r="27">
      <x:c r="B27" s="609"/>
      <x:c r="C27" s="609"/>
      <x:c r="D27" s="609"/>
      <x:c r="E27" s="609"/>
      <x:c r="F27" s="609"/>
      <x:c r="G27" s="313"/>
      <x:c r="H27" s="313"/>
    </x:row>
    <x:row r="28">
      <x:c r="B28" s="313"/>
      <x:c r="C28" s="313"/>
      <x:c r="D28" s="313"/>
      <x:c r="E28" s="313"/>
      <x:c r="F28" s="313"/>
      <x:c r="G28" s="313"/>
      <x:c r="H28" s="313"/>
    </x:row>
  </x:sheetData>
  <x:mergeCells>
    <x:mergeCell ref="B2:F2"/>
    <x:mergeCell ref="B4:F5"/>
    <x:mergeCell ref="B6:F6"/>
    <x:mergeCell ref="B8:F8"/>
    <x:mergeCell ref="B10:C10"/>
    <x:mergeCell ref="B11:C12"/>
    <x:mergeCell ref="E10:F10"/>
    <x:mergeCell ref="E11:F12"/>
    <x:mergeCell ref="B14:C14"/>
    <x:mergeCell ref="B15:C16"/>
    <x:mergeCell ref="E14:F14"/>
    <x:mergeCell ref="E15:F16"/>
    <x:mergeCell ref="B19:F19"/>
    <x:mergeCell ref="C20:F20"/>
    <x:mergeCell ref="C21:F21"/>
    <x:mergeCell ref="C22:F22"/>
    <x:mergeCell ref="C23:F23"/>
    <x:mergeCell ref="B26:F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58D7C"/>
  </x:sheetPr>
  <x:sheetViews>
    <x:sheetView showGridLines="0" workbookViewId="0">
      <x:pane xSplit="3" ySplit="3" topLeftCell="D4" activePane="bottomRight" state="frozen"/>
    </x:sheetView>
  </x:sheetViews>
  <x:sheetFormatPr baseColWidth="10" defaultColWidth="8.6640625" defaultRowHeight="15"/>
  <x:cols>
    <x:col min="1" max="1" width="3" hidden="0" customWidth="1"/>
    <x:col min="2" max="2" width="21" hidden="0" customWidth="1"/>
    <x:col min="3" max="3" width="34" hidden="0" customWidth="1"/>
    <x:col min="4" max="4" width="46" hidden="0" customWidth="1"/>
    <x:col min="5" max="5" width="10" hidden="0" customWidth="1"/>
    <x:col min="6" max="7" width="12" customWidth="1"/>
    <x:col min="8" max="8" width="14" hidden="0" customWidth="1"/>
    <x:col min="9" max="9" width="17" hidden="0" customWidth="1"/>
    <x:col min="10" max="10" width="13" hidden="0" customWidth="1"/>
    <x:col min="11" max="11" width="14" hidden="0" customWidth="1"/>
    <x:col min="6" max="6" width="13" hidden="0" customWidth="1"/>
    <x:col min="7" max="7" width="13" hidden="0" customWidth="1"/>
  </x:cols>
  <x:sheetData>
    <x:row r="2" ht="46" customHeight="1">
      <x:c r="B2" s="408" t="str">
        <x:v>TechPeru SAC / BSC completo / 2025</x:v>
      </x:c>
      <x:c r="C2" s="408"/>
      <x:c r="D2" s="408"/>
      <x:c r="E2" s="408"/>
      <x:c r="F2" s="408"/>
      <x:c r="G2" s="408"/>
      <x:c r="H2" s="408"/>
      <x:c r="I2" s="408"/>
      <x:c r="J2" s="400"/>
      <x:c r="K2" s="400"/>
    </x:row>
    <x:row r="3" ht="32" customHeight="1">
      <x:c r="B3" s="413" t="s">
        <x:v>0</x:v>
      </x:c>
      <x:c r="C3" s="413" t="s">
        <x:v>1</x:v>
      </x:c>
      <x:c r="D3" s="413" t="s">
        <x:v>2</x:v>
      </x:c>
      <x:c r="E3" s="413" t="s">
        <x:v>3</x:v>
      </x:c>
      <x:c r="F3" s="413" t="s">
        <x:v>4</x:v>
      </x:c>
      <x:c r="G3" s="413" t="s">
        <x:v>5</x:v>
      </x:c>
      <x:c r="H3" s="413" t="s">
        <x:v>6</x:v>
      </x:c>
      <x:c r="I3" s="413" t="s">
        <x:v>7</x:v>
      </x:c>
      <x:c r="J3" s="413" t="str">
        <x:v>Código KPI</x:v>
      </x:c>
      <x:c r="K3" s="413" t="str">
        <x:v>Sentido</x:v>
      </x:c>
    </x:row>
    <x:row r="4" ht="35" customHeight="1">
      <x:c r="B4" s="416" t="str">
        <x:v>Financiera</x:v>
      </x:c>
      <x:c r="C4" s="418" t="s">
        <x:v>8</x:v>
      </x:c>
      <x:c r="D4" s="402" t="s">
        <x:v>9</x:v>
      </x:c>
      <x:c r="E4" s="399" t="s">
        <x:v>10</x:v>
      </x:c>
      <x:c r="F4" s="420">
        <x:v>18</x:v>
      </x:c>
      <x:c r="G4" s="420" t="n">
        <x:v>16.5</x:v>
      </x:c>
      <x:c r="H4" s="404" t="n">
        <x:f t="shared" ref="H4:H9" si="0">IF(OR(NOT(ISNUMBER(F4)),NOT(ISNUMBER(G4)),F4&lt;0,AND(K4="Mayor",F4=0)),"",IF(K4="Menor",IF(G4&lt;=F4,1,MAX(0,F4/G4)),MIN(1.5,MAX(0,G4/F4))))</x:f>
        <x:v>0.9166666666666666</x:v>
      </x:c>
      <x:c r="I4" s="401" t="str">
        <x:f t="shared" ref="I4:I12" si="1">IF(OR(NOT(ISNUMBER(F4)),NOT(ISNUMBER(G4))),"SIN DATOS",IF(NOT(ISNUMBER(H4)),"REVISAR META",IF(H4&gt;=1,"CUMPLIDO",IF(H4&gt;=0.8,"EN RIESGO","CRÍTICO"))))</x:f>
        <x:v>EN RIESGO</x:v>
      </x:c>
      <x:c r="J4" s="429" t="str">
        <x:v>KPI-01</x:v>
      </x:c>
      <x:c r="K4" s="429" t="str">
        <x:v>Mayor</x:v>
      </x:c>
    </x:row>
    <x:row r="5" ht="35" customHeight="1">
      <x:c r="B5" s="416" t="str">
        <x:v>Financiera</x:v>
      </x:c>
      <x:c r="C5" s="418"/>
      <x:c r="D5" s="424" t="s">
        <x:v>11</x:v>
      </x:c>
      <x:c r="E5" s="423" t="s">
        <x:v>10</x:v>
      </x:c>
      <x:c r="F5" s="420">
        <x:v>22</x:v>
      </x:c>
      <x:c r="G5" s="420">
        <x:v>19.8</x:v>
      </x:c>
      <x:c r="H5" s="427" t="n">
        <x:f t="shared" si="0">IF(OR(NOT(ISNUMBER(F5)),NOT(ISNUMBER(G5)),F5&lt;0,AND(K5="Mayor",F5=0)),"",IF(K5="Menor",IF(G5&lt;=F5,1,MAX(0,F5/G5)),MIN(1.5,MAX(0,G5/F5))))</x:f>
        <x:v>0.9</x:v>
      </x:c>
      <x:c r="I5" s="425" t="str">
        <x:f t="shared" si="1">IF(OR(NOT(ISNUMBER(F5)),NOT(ISNUMBER(G5))),"SIN DATOS",IF(NOT(ISNUMBER(H5)),"REVISAR META",IF(H5&gt;=1,"CUMPLIDO",IF(H5&gt;=0.8,"EN RIESGO","CRÍTICO"))))</x:f>
        <x:v>EN RIESGO</x:v>
      </x:c>
      <x:c r="J5" s="429" t="str">
        <x:v>KPI-02</x:v>
      </x:c>
      <x:c r="K5" s="429" t="str">
        <x:v>Mayor</x:v>
      </x:c>
    </x:row>
    <x:row r="6" ht="35" customHeight="1">
      <x:c r="B6" s="416" t="str">
        <x:v>Financiera</x:v>
      </x:c>
      <x:c r="C6" s="418"/>
      <x:c r="D6" s="402" t="s">
        <x:v>12</x:v>
      </x:c>
      <x:c r="E6" s="399" t="s">
        <x:v>13</x:v>
      </x:c>
      <x:c r="F6" s="420">
        <x:v>2.1</x:v>
      </x:c>
      <x:c r="G6" s="420">
        <x:v>1.87</x:v>
      </x:c>
      <x:c r="H6" s="404" t="n">
        <x:f t="shared" si="0">IF(OR(NOT(ISNUMBER(F6)),NOT(ISNUMBER(G6)),F6&lt;0,AND(K6="Mayor",F6=0)),"",IF(K6="Menor",IF(G6&lt;=F6,1,MAX(0,F6/G6)),MIN(1.5,MAX(0,G6/F6))))</x:f>
        <x:v>0.8904761904761905</x:v>
      </x:c>
      <x:c r="I6" s="401" t="str">
        <x:f t="shared" si="1">IF(OR(NOT(ISNUMBER(F6)),NOT(ISNUMBER(G6))),"SIN DATOS",IF(NOT(ISNUMBER(H6)),"REVISAR META",IF(H6&gt;=1,"CUMPLIDO",IF(H6&gt;=0.8,"EN RIESGO","CRÍTICO"))))</x:f>
        <x:v>EN RIESGO</x:v>
      </x:c>
      <x:c r="J6" s="429" t="str">
        <x:v>KPI-03</x:v>
      </x:c>
      <x:c r="K6" s="429" t="str">
        <x:v>Mayor</x:v>
      </x:c>
    </x:row>
    <x:row r="7" ht="35" customHeight="1">
      <x:c r="B7" s="416" t="str">
        <x:v>Financiera</x:v>
      </x:c>
      <x:c r="C7" s="418" t="s">
        <x:v>14</x:v>
      </x:c>
      <x:c r="D7" s="424" t="s">
        <x:v>15</x:v>
      </x:c>
      <x:c r="E7" s="423" t="s">
        <x:v>10</x:v>
      </x:c>
      <x:c r="F7" s="420">
        <x:v>15</x:v>
      </x:c>
      <x:c r="G7" s="420">
        <x:v>12.3</x:v>
      </x:c>
      <x:c r="H7" s="427" t="n">
        <x:f t="shared" si="0">IF(OR(NOT(ISNUMBER(F7)),NOT(ISNUMBER(G7)),F7&lt;0,AND(K7="Mayor",F7=0)),"",IF(K7="Menor",IF(G7&lt;=F7,1,MAX(0,F7/G7)),MIN(1.5,MAX(0,G7/F7))))</x:f>
        <x:v>0.8200000000000001</x:v>
      </x:c>
      <x:c r="I7" s="425" t="str">
        <x:f t="shared" si="1">IF(OR(NOT(ISNUMBER(F7)),NOT(ISNUMBER(G7))),"SIN DATOS",IF(NOT(ISNUMBER(H7)),"REVISAR META",IF(H7&gt;=1,"CUMPLIDO",IF(H7&gt;=0.8,"EN RIESGO","CRÍTICO"))))</x:f>
        <x:v>EN RIESGO</x:v>
      </x:c>
      <x:c r="J7" s="429" t="str">
        <x:v>KPI-04</x:v>
      </x:c>
      <x:c r="K7" s="429" t="str">
        <x:v>Mayor</x:v>
      </x:c>
    </x:row>
    <x:row r="8" ht="35" customHeight="1">
      <x:c r="B8" s="416" t="str">
        <x:v>Financiera</x:v>
      </x:c>
      <x:c r="C8" s="418"/>
      <x:c r="D8" s="402" t="s">
        <x:v>16</x:v>
      </x:c>
      <x:c r="E8" s="399" t="s">
        <x:v>13</x:v>
      </x:c>
      <x:c r="F8" s="420">
        <x:v>8.5</x:v>
      </x:c>
      <x:c r="G8" s="420">
        <x:v>7.9</x:v>
      </x:c>
      <x:c r="H8" s="404" t="n">
        <x:f t="shared" si="0">IF(OR(NOT(ISNUMBER(F8)),NOT(ISNUMBER(G8)),F8&lt;0,AND(K8="Mayor",F8=0)),"",IF(K8="Menor",IF(G8&lt;=F8,1,MAX(0,F8/G8)),MIN(1.5,MAX(0,G8/F8))))</x:f>
        <x:v>0.9294117647058824</x:v>
      </x:c>
      <x:c r="I8" s="401" t="str">
        <x:f t="shared" si="1">IF(OR(NOT(ISNUMBER(F8)),NOT(ISNUMBER(G8))),"SIN DATOS",IF(NOT(ISNUMBER(H8)),"REVISAR META",IF(H8&gt;=1,"CUMPLIDO",IF(H8&gt;=0.8,"EN RIESGO","CRÍTICO"))))</x:f>
        <x:v>EN RIESGO</x:v>
      </x:c>
      <x:c r="J8" s="429" t="str">
        <x:v>KPI-05</x:v>
      </x:c>
      <x:c r="K8" s="429" t="str">
        <x:v>Mayor</x:v>
      </x:c>
    </x:row>
    <x:row r="9" ht="35" customHeight="1">
      <x:c r="B9" s="416" t="str">
        <x:v>Financiera</x:v>
      </x:c>
      <x:c r="C9" s="418"/>
      <x:c r="D9" s="424" t="s">
        <x:v>17</x:v>
      </x:c>
      <x:c r="E9" s="423" t="s">
        <x:v>10</x:v>
      </x:c>
      <x:c r="F9" s="420">
        <x:v>20</x:v>
      </x:c>
      <x:c r="G9" s="420">
        <x:v>15.6</x:v>
      </x:c>
      <x:c r="H9" s="427" t="n">
        <x:f t="shared" si="0">IF(OR(NOT(ISNUMBER(F9)),NOT(ISNUMBER(G9)),F9&lt;0,AND(K9="Mayor",F9=0)),"",IF(K9="Menor",IF(G9&lt;=F9,1,MAX(0,F9/G9)),MIN(1.5,MAX(0,G9/F9))))</x:f>
        <x:v>0.78</x:v>
      </x:c>
      <x:c r="I9" s="425" t="str">
        <x:f t="shared" si="1">IF(OR(NOT(ISNUMBER(F9)),NOT(ISNUMBER(G9))),"SIN DATOS",IF(NOT(ISNUMBER(H9)),"REVISAR META",IF(H9&gt;=1,"CUMPLIDO",IF(H9&gt;=0.8,"EN RIESGO","CRÍTICO"))))</x:f>
        <x:v>CRÍTICO</x:v>
      </x:c>
      <x:c r="J9" s="429" t="str">
        <x:v>KPI-06</x:v>
      </x:c>
      <x:c r="K9" s="429" t="str">
        <x:v>Mayor</x:v>
      </x:c>
    </x:row>
    <x:row r="10" ht="35" customHeight="1">
      <x:c r="B10" s="416" t="str">
        <x:v>Financiera</x:v>
      </x:c>
      <x:c r="C10" s="418" t="s">
        <x:v>18</x:v>
      </x:c>
      <x:c r="D10" s="402" t="s">
        <x:v>19</x:v>
      </x:c>
      <x:c r="E10" s="399" t="s">
        <x:v>10</x:v>
      </x:c>
      <x:c r="F10" s="420">
        <x:v>55</x:v>
      </x:c>
      <x:c r="G10" s="420">
        <x:v>58.2</x:v>
      </x:c>
      <x:c r="H10" s="404" t="n">
        <x:f>IF(OR(NOT(ISNUMBER(F10)),NOT(ISNUMBER(G10)),F10&lt;0,AND(K10="Mayor",F10=0)),"",IF(K10="Menor",IF(G10&lt;=F10,1,MAX(0,F10/G10)),MIN(1.5,MAX(0,G10/F10))))</x:f>
        <x:v>0.9450171821305842</x:v>
      </x:c>
      <x:c r="I10" s="401" t="str">
        <x:f t="shared" si="1">IF(OR(NOT(ISNUMBER(F10)),NOT(ISNUMBER(G10))),"SIN DATOS",IF(NOT(ISNUMBER(H10)),"REVISAR META",IF(H10&gt;=1,"CUMPLIDO",IF(H10&gt;=0.8,"EN RIESGO","CRÍTICO"))))</x:f>
        <x:v>EN RIESGO</x:v>
      </x:c>
      <x:c r="J10" s="429" t="str">
        <x:v>KPI-07</x:v>
      </x:c>
      <x:c r="K10" s="429" t="str">
        <x:v>Menor</x:v>
      </x:c>
    </x:row>
    <x:row r="11" ht="35" customHeight="1">
      <x:c r="B11" s="416" t="str">
        <x:v>Financiera</x:v>
      </x:c>
      <x:c r="C11" s="418"/>
      <x:c r="D11" s="424" t="s">
        <x:v>20</x:v>
      </x:c>
      <x:c r="E11" s="423" t="s">
        <x:v>21</x:v>
      </x:c>
      <x:c r="F11" s="420">
        <x:v>350</x:v>
      </x:c>
      <x:c r="G11" s="420">
        <x:v>412</x:v>
      </x:c>
      <x:c r="H11" s="427" t="n">
        <x:f>IF(OR(NOT(ISNUMBER(F11)),NOT(ISNUMBER(G11)),F11&lt;0,AND(K11="Mayor",F11=0)),"",IF(K11="Menor",IF(G11&lt;=F11,1,MAX(0,F11/G11)),MIN(1.5,MAX(0,G11/F11))))</x:f>
        <x:v>0.8495145631067961</x:v>
      </x:c>
      <x:c r="I11" s="425" t="str">
        <x:f t="shared" si="1">IF(OR(NOT(ISNUMBER(F11)),NOT(ISNUMBER(G11))),"SIN DATOS",IF(NOT(ISNUMBER(H11)),"REVISAR META",IF(H11&gt;=1,"CUMPLIDO",IF(H11&gt;=0.8,"EN RIESGO","CRÍTICO"))))</x:f>
        <x:v>EN RIESGO</x:v>
      </x:c>
      <x:c r="J11" s="429" t="str">
        <x:v>KPI-08</x:v>
      </x:c>
      <x:c r="K11" s="429" t="str">
        <x:v>Menor</x:v>
      </x:c>
    </x:row>
    <x:row r="12" ht="35" customHeight="1">
      <x:c r="B12" s="416" t="str">
        <x:v>Financiera</x:v>
      </x:c>
      <x:c r="C12" s="418"/>
      <x:c r="D12" s="402" t="s">
        <x:v>22</x:v>
      </x:c>
      <x:c r="E12" s="399" t="s">
        <x:v>10</x:v>
      </x:c>
      <x:c r="F12" s="420">
        <x:v>9</x:v>
      </x:c>
      <x:c r="G12" s="420">
        <x:v>7.8</x:v>
      </x:c>
      <x:c r="H12" s="404" t="n">
        <x:f>IF(OR(NOT(ISNUMBER(F12)),NOT(ISNUMBER(G12)),F12&lt;0,AND(K12="Mayor",F12=0)),"",IF(K12="Menor",IF(G12&lt;=F12,1,MAX(0,F12/G12)),MIN(1.5,MAX(0,G12/F12))))</x:f>
        <x:v>0.8666666666666667</x:v>
      </x:c>
      <x:c r="I12" s="401" t="str">
        <x:f t="shared" si="1">IF(OR(NOT(ISNUMBER(F12)),NOT(ISNUMBER(G12))),"SIN DATOS",IF(NOT(ISNUMBER(H12)),"REVISAR META",IF(H12&gt;=1,"CUMPLIDO",IF(H12&gt;=0.8,"EN RIESGO","CRÍTICO"))))</x:f>
        <x:v>EN RIESGO</x:v>
      </x:c>
      <x:c r="J12" s="429" t="str">
        <x:v>KPI-09</x:v>
      </x:c>
      <x:c r="K12" s="429" t="str">
        <x:v>Mayor</x:v>
      </x:c>
    </x:row>
    <x:row r="13" ht="12" customHeight="1">
      <x:c r="B13" s="405"/>
      <x:c r="C13" s="405"/>
      <x:c r="D13" s="400"/>
      <x:c r="E13" s="400"/>
      <x:c r="F13" s="406"/>
      <x:c r="G13" s="406"/>
      <x:c r="H13" s="407"/>
      <x:c r="I13" s="400"/>
      <x:c r="J13" s="400"/>
      <x:c r="K13" s="400"/>
    </x:row>
    <x:row r="14" ht="35" customHeight="1">
      <x:c r="B14" s="431" t="str">
        <x:v>Clientes</x:v>
      </x:c>
      <x:c r="C14" s="433" t="s">
        <x:v>23</x:v>
      </x:c>
      <x:c r="D14" s="402" t="s">
        <x:v>24</x:v>
      </x:c>
      <x:c r="E14" s="399" t="s">
        <x:v>25</x:v>
      </x:c>
      <x:c r="F14" s="420">
        <x:v>65</x:v>
      </x:c>
      <x:c r="G14" s="420">
        <x:v>58</x:v>
      </x:c>
      <x:c r="H14" s="404" t="n">
        <x:f>IF(OR(NOT(ISNUMBER(F14)),NOT(ISNUMBER(G14)),F14&lt;0,AND(K14="Mayor",F14=0)),"",IF(K14="Menor",IF(G14&lt;=F14,1,MAX(0,F14/G14)),MIN(1.5,MAX(0,G14/F14))))</x:f>
        <x:v>0.8923076923076924</x:v>
      </x:c>
      <x:c r="I14" s="401" t="str">
        <x:f t="shared" ref="I14:I22" si="2">IF(OR(NOT(ISNUMBER(F14)),NOT(ISNUMBER(G14))),"SIN DATOS",IF(NOT(ISNUMBER(H14)),"REVISAR META",IF(H14&gt;=1,"CUMPLIDO",IF(H14&gt;=0.8,"EN RIESGO","CRÍTICO"))))</x:f>
        <x:v>EN RIESGO</x:v>
      </x:c>
      <x:c r="J14" s="429" t="str">
        <x:v>KPI-10</x:v>
      </x:c>
      <x:c r="K14" s="429" t="str">
        <x:v>Mayor</x:v>
      </x:c>
    </x:row>
    <x:row r="15" ht="35" customHeight="1">
      <x:c r="B15" s="431" t="str">
        <x:v>Clientes</x:v>
      </x:c>
      <x:c r="C15" s="433"/>
      <x:c r="D15" s="424" t="s">
        <x:v>26</x:v>
      </x:c>
      <x:c r="E15" s="423" t="s">
        <x:v>10</x:v>
      </x:c>
      <x:c r="F15" s="420">
        <x:v>88</x:v>
      </x:c>
      <x:c r="G15" s="420">
        <x:v>84</x:v>
      </x:c>
      <x:c r="H15" s="427" t="n">
        <x:f>IF(OR(NOT(ISNUMBER(F15)),NOT(ISNUMBER(G15)),F15&lt;0,AND(K15="Mayor",F15=0)),"",IF(K15="Menor",IF(G15&lt;=F15,1,MAX(0,F15/G15)),MIN(1.5,MAX(0,G15/F15))))</x:f>
        <x:v>0.9545454545454546</x:v>
      </x:c>
      <x:c r="I15" s="425" t="str">
        <x:f t="shared" si="2">IF(OR(NOT(ISNUMBER(F15)),NOT(ISNUMBER(G15))),"SIN DATOS",IF(NOT(ISNUMBER(H15)),"REVISAR META",IF(H15&gt;=1,"CUMPLIDO",IF(H15&gt;=0.8,"EN RIESGO","CRÍTICO"))))</x:f>
        <x:v>EN RIESGO</x:v>
      </x:c>
      <x:c r="J15" s="429" t="str">
        <x:v>KPI-11</x:v>
      </x:c>
      <x:c r="K15" s="429" t="str">
        <x:v>Mayor</x:v>
      </x:c>
    </x:row>
    <x:row r="16" ht="35" customHeight="1">
      <x:c r="B16" s="431" t="str">
        <x:v>Clientes</x:v>
      </x:c>
      <x:c r="C16" s="433"/>
      <x:c r="D16" s="402" t="s">
        <x:v>27</x:v>
      </x:c>
      <x:c r="E16" s="399" t="s">
        <x:v>28</x:v>
      </x:c>
      <x:c r="F16" s="420">
        <x:v>2</x:v>
      </x:c>
      <x:c r="G16" s="420">
        <x:v>2.8</x:v>
      </x:c>
      <x:c r="H16" s="404" t="n">
        <x:f>IF(OR(NOT(ISNUMBER(F16)),NOT(ISNUMBER(G16)),F16&lt;0,AND(K16="Mayor",F16=0)),"",IF(K16="Menor",IF(G16&lt;=F16,1,MAX(0,F16/G16)),MIN(1.5,MAX(0,G16/F16))))</x:f>
        <x:v>0.7142857142857143</x:v>
      </x:c>
      <x:c r="I16" s="401" t="str">
        <x:f t="shared" si="2">IF(OR(NOT(ISNUMBER(F16)),NOT(ISNUMBER(G16))),"SIN DATOS",IF(NOT(ISNUMBER(H16)),"REVISAR META",IF(H16&gt;=1,"CUMPLIDO",IF(H16&gt;=0.8,"EN RIESGO","CRÍTICO"))))</x:f>
        <x:v>CRÍTICO</x:v>
      </x:c>
      <x:c r="J16" s="429" t="str">
        <x:v>KPI-12</x:v>
      </x:c>
      <x:c r="K16" s="429" t="str">
        <x:v>Menor</x:v>
      </x:c>
    </x:row>
    <x:row r="17" ht="35" customHeight="1">
      <x:c r="B17" s="431" t="str">
        <x:v>Clientes</x:v>
      </x:c>
      <x:c r="C17" s="433" t="s">
        <x:v>29</x:v>
      </x:c>
      <x:c r="D17" s="424" t="s">
        <x:v>30</x:v>
      </x:c>
      <x:c r="E17" s="423" t="s">
        <x:v>10</x:v>
      </x:c>
      <x:c r="F17" s="420">
        <x:v>90</x:v>
      </x:c>
      <x:c r="G17" s="420">
        <x:v>87</x:v>
      </x:c>
      <x:c r="H17" s="427" t="n">
        <x:f>IF(OR(NOT(ISNUMBER(F17)),NOT(ISNUMBER(G17)),F17&lt;0,AND(K17="Mayor",F17=0)),"",IF(K17="Menor",IF(G17&lt;=F17,1,MAX(0,F17/G17)),MIN(1.5,MAX(0,G17/F17))))</x:f>
        <x:v>0.9666666666666667</x:v>
      </x:c>
      <x:c r="I17" s="425" t="str">
        <x:f t="shared" si="2">IF(OR(NOT(ISNUMBER(F17)),NOT(ISNUMBER(G17))),"SIN DATOS",IF(NOT(ISNUMBER(H17)),"REVISAR META",IF(H17&gt;=1,"CUMPLIDO",IF(H17&gt;=0.8,"EN RIESGO","CRÍTICO"))))</x:f>
        <x:v>EN RIESGO</x:v>
      </x:c>
      <x:c r="J17" s="429" t="str">
        <x:v>KPI-13</x:v>
      </x:c>
      <x:c r="K17" s="429" t="str">
        <x:v>Mayor</x:v>
      </x:c>
    </x:row>
    <x:row r="18" ht="35" customHeight="1">
      <x:c r="B18" s="431" t="str">
        <x:v>Clientes</x:v>
      </x:c>
      <x:c r="C18" s="433"/>
      <x:c r="D18" s="402" t="s">
        <x:v>31</x:v>
      </x:c>
      <x:c r="E18" s="399" t="s">
        <x:v>10</x:v>
      </x:c>
      <x:c r="F18" s="420">
        <x:v>55</x:v>
      </x:c>
      <x:c r="G18" s="420">
        <x:v>49</x:v>
      </x:c>
      <x:c r="H18" s="404" t="n">
        <x:f>IF(OR(NOT(ISNUMBER(F18)),NOT(ISNUMBER(G18)),F18&lt;0,AND(K18="Mayor",F18=0)),"",IF(K18="Menor",IF(G18&lt;=F18,1,MAX(0,F18/G18)),MIN(1.5,MAX(0,G18/F18))))</x:f>
        <x:v>0.8909090909090909</x:v>
      </x:c>
      <x:c r="I18" s="401" t="str">
        <x:f t="shared" si="2">IF(OR(NOT(ISNUMBER(F18)),NOT(ISNUMBER(G18))),"SIN DATOS",IF(NOT(ISNUMBER(H18)),"REVISAR META",IF(H18&gt;=1,"CUMPLIDO",IF(H18&gt;=0.8,"EN RIESGO","CRÍTICO"))))</x:f>
        <x:v>EN RIESGO</x:v>
      </x:c>
      <x:c r="J18" s="429" t="str">
        <x:v>KPI-14</x:v>
      </x:c>
      <x:c r="K18" s="429" t="str">
        <x:v>Mayor</x:v>
      </x:c>
    </x:row>
    <x:row r="19" ht="35" customHeight="1">
      <x:c r="B19" s="431" t="str">
        <x:v>Clientes</x:v>
      </x:c>
      <x:c r="C19" s="433"/>
      <x:c r="D19" s="424" t="s">
        <x:v>32</x:v>
      </x:c>
      <x:c r="E19" s="423" t="s">
        <x:v>10</x:v>
      </x:c>
      <x:c r="F19" s="420">
        <x:v>5</x:v>
      </x:c>
      <x:c r="G19" s="420">
        <x:v>7.2</x:v>
      </x:c>
      <x:c r="H19" s="427" t="n">
        <x:f>IF(OR(NOT(ISNUMBER(F19)),NOT(ISNUMBER(G19)),F19&lt;0,AND(K19="Mayor",F19=0)),"",IF(K19="Menor",IF(G19&lt;=F19,1,MAX(0,F19/G19)),MIN(1.5,MAX(0,G19/F19))))</x:f>
        <x:v>0.6944444444444444</x:v>
      </x:c>
      <x:c r="I19" s="425" t="str">
        <x:f t="shared" si="2">IF(OR(NOT(ISNUMBER(F19)),NOT(ISNUMBER(G19))),"SIN DATOS",IF(NOT(ISNUMBER(H19)),"REVISAR META",IF(H19&gt;=1,"CUMPLIDO",IF(H19&gt;=0.8,"EN RIESGO","CRÍTICO"))))</x:f>
        <x:v>CRÍTICO</x:v>
      </x:c>
      <x:c r="J19" s="429" t="str">
        <x:v>KPI-15</x:v>
      </x:c>
      <x:c r="K19" s="429" t="str">
        <x:v>Menor</x:v>
      </x:c>
    </x:row>
    <x:row r="20" ht="35" customHeight="1">
      <x:c r="B20" s="431" t="str">
        <x:v>Clientes</x:v>
      </x:c>
      <x:c r="C20" s="433" t="s">
        <x:v>33</x:v>
      </x:c>
      <x:c r="D20" s="402" t="s">
        <x:v>34</x:v>
      </x:c>
      <x:c r="E20" s="399" t="s">
        <x:v>35</x:v>
      </x:c>
      <x:c r="F20" s="420">
        <x:v>120</x:v>
      </x:c>
      <x:c r="G20" s="420">
        <x:v>105</x:v>
      </x:c>
      <x:c r="H20" s="404" t="n">
        <x:f>IF(OR(NOT(ISNUMBER(F20)),NOT(ISNUMBER(G20)),F20&lt;0,AND(K20="Mayor",F20=0)),"",IF(K20="Menor",IF(G20&lt;=F20,1,MAX(0,F20/G20)),MIN(1.5,MAX(0,G20/F20))))</x:f>
        <x:v>0.875</x:v>
      </x:c>
      <x:c r="I20" s="401" t="str">
        <x:f t="shared" si="2">IF(OR(NOT(ISNUMBER(F20)),NOT(ISNUMBER(G20))),"SIN DATOS",IF(NOT(ISNUMBER(H20)),"REVISAR META",IF(H20&gt;=1,"CUMPLIDO",IF(H20&gt;=0.8,"EN RIESGO","CRÍTICO"))))</x:f>
        <x:v>EN RIESGO</x:v>
      </x:c>
      <x:c r="J20" s="429" t="str">
        <x:v>KPI-16</x:v>
      </x:c>
      <x:c r="K20" s="429" t="str">
        <x:v>Mayor</x:v>
      </x:c>
    </x:row>
    <x:row r="21" ht="35" customHeight="1">
      <x:c r="B21" s="431" t="str">
        <x:v>Clientes</x:v>
      </x:c>
      <x:c r="C21" s="433"/>
      <x:c r="D21" s="424" t="s">
        <x:v>36</x:v>
      </x:c>
      <x:c r="E21" s="423" t="s">
        <x:v>10</x:v>
      </x:c>
      <x:c r="F21" s="420">
        <x:v>8.5</x:v>
      </x:c>
      <x:c r="G21" s="420">
        <x:v>7.8</x:v>
      </x:c>
      <x:c r="H21" s="427" t="n">
        <x:f>IF(OR(NOT(ISNUMBER(F21)),NOT(ISNUMBER(G21)),F21&lt;0,AND(K21="Mayor",F21=0)),"",IF(K21="Menor",IF(G21&lt;=F21,1,MAX(0,F21/G21)),MIN(1.5,MAX(0,G21/F21))))</x:f>
        <x:v>0.9176470588235294</x:v>
      </x:c>
      <x:c r="I21" s="425" t="str">
        <x:f t="shared" si="2">IF(OR(NOT(ISNUMBER(F21)),NOT(ISNUMBER(G21))),"SIN DATOS",IF(NOT(ISNUMBER(H21)),"REVISAR META",IF(H21&gt;=1,"CUMPLIDO",IF(H21&gt;=0.8,"EN RIESGO","CRÍTICO"))))</x:f>
        <x:v>EN RIESGO</x:v>
      </x:c>
      <x:c r="J21" s="429" t="str">
        <x:v>KPI-17</x:v>
      </x:c>
      <x:c r="K21" s="429" t="str">
        <x:v>Mayor</x:v>
      </x:c>
    </x:row>
    <x:row r="22" ht="35" customHeight="1">
      <x:c r="B22" s="431" t="str">
        <x:v>Clientes</x:v>
      </x:c>
      <x:c r="C22" s="433"/>
      <x:c r="D22" s="402" t="s">
        <x:v>37</x:v>
      </x:c>
      <x:c r="E22" s="399" t="s">
        <x:v>21</x:v>
      </x:c>
      <x:c r="F22" s="420">
        <x:v>180</x:v>
      </x:c>
      <x:c r="G22" s="420">
        <x:v>215</x:v>
      </x:c>
      <x:c r="H22" s="404" t="n">
        <x:f>IF(OR(NOT(ISNUMBER(F22)),NOT(ISNUMBER(G22)),F22&lt;0,AND(K22="Mayor",F22=0)),"",IF(K22="Menor",IF(G22&lt;=F22,1,MAX(0,F22/G22)),MIN(1.5,MAX(0,G22/F22))))</x:f>
        <x:v>0.8372093023255814</x:v>
      </x:c>
      <x:c r="I22" s="401" t="str">
        <x:f t="shared" si="2">IF(OR(NOT(ISNUMBER(F22)),NOT(ISNUMBER(G22))),"SIN DATOS",IF(NOT(ISNUMBER(H22)),"REVISAR META",IF(H22&gt;=1,"CUMPLIDO",IF(H22&gt;=0.8,"EN RIESGO","CRÍTICO"))))</x:f>
        <x:v>EN RIESGO</x:v>
      </x:c>
      <x:c r="J22" s="429" t="str">
        <x:v>KPI-18</x:v>
      </x:c>
      <x:c r="K22" s="429" t="str">
        <x:v>Menor</x:v>
      </x:c>
    </x:row>
    <x:row r="23" ht="12" customHeight="1">
      <x:c r="B23" s="405"/>
      <x:c r="C23" s="405"/>
      <x:c r="D23" s="400"/>
      <x:c r="E23" s="400"/>
      <x:c r="F23" s="406"/>
      <x:c r="G23" s="406"/>
      <x:c r="H23" s="407"/>
      <x:c r="I23" s="400"/>
      <x:c r="J23" s="400"/>
      <x:c r="K23" s="400"/>
    </x:row>
    <x:row r="24" ht="35" customHeight="1">
      <x:c r="B24" s="435" t="str">
        <x:v>Procesos internos</x:v>
      </x:c>
      <x:c r="C24" s="437" t="s">
        <x:v>38</x:v>
      </x:c>
      <x:c r="D24" s="402" t="s">
        <x:v>39</x:v>
      </x:c>
      <x:c r="E24" s="399" t="s">
        <x:v>28</x:v>
      </x:c>
      <x:c r="F24" s="420">
        <x:v>3</x:v>
      </x:c>
      <x:c r="G24" s="420">
        <x:v>3.5</x:v>
      </x:c>
      <x:c r="H24" s="404" t="n">
        <x:f>IF(OR(NOT(ISNUMBER(F24)),NOT(ISNUMBER(G24)),F24&lt;0,AND(K24="Mayor",F24=0)),"",IF(K24="Menor",IF(G24&lt;=F24,1,MAX(0,F24/G24)),MIN(1.5,MAX(0,G24/F24))))</x:f>
        <x:v>0.8571428571428571</x:v>
      </x:c>
      <x:c r="I24" s="401" t="str">
        <x:f t="shared" ref="I24:I32" si="3">IF(OR(NOT(ISNUMBER(F24)),NOT(ISNUMBER(G24))),"SIN DATOS",IF(NOT(ISNUMBER(H24)),"REVISAR META",IF(H24&gt;=1,"CUMPLIDO",IF(H24&gt;=0.8,"EN RIESGO","CRÍTICO"))))</x:f>
        <x:v>EN RIESGO</x:v>
      </x:c>
      <x:c r="J24" s="429" t="str">
        <x:v>KPI-19</x:v>
      </x:c>
      <x:c r="K24" s="429" t="str">
        <x:v>Menor</x:v>
      </x:c>
    </x:row>
    <x:row r="25" ht="35" customHeight="1">
      <x:c r="B25" s="435" t="str">
        <x:v>Procesos internos</x:v>
      </x:c>
      <x:c r="C25" s="437"/>
      <x:c r="D25" s="424" t="s">
        <x:v>40</x:v>
      </x:c>
      <x:c r="E25" s="423" t="s">
        <x:v>10</x:v>
      </x:c>
      <x:c r="F25" s="420">
        <x:v>2</x:v>
      </x:c>
      <x:c r="G25" s="420">
        <x:v>2.8</x:v>
      </x:c>
      <x:c r="H25" s="427" t="n">
        <x:f>IF(OR(NOT(ISNUMBER(F25)),NOT(ISNUMBER(G25)),F25&lt;0,AND(K25="Mayor",F25=0)),"",IF(K25="Menor",IF(G25&lt;=F25,1,MAX(0,F25/G25)),MIN(1.5,MAX(0,G25/F25))))</x:f>
        <x:v>0.7142857142857143</x:v>
      </x:c>
      <x:c r="I25" s="425" t="str">
        <x:f t="shared" si="3">IF(OR(NOT(ISNUMBER(F25)),NOT(ISNUMBER(G25))),"SIN DATOS",IF(NOT(ISNUMBER(H25)),"REVISAR META",IF(H25&gt;=1,"CUMPLIDO",IF(H25&gt;=0.8,"EN RIESGO","CRÍTICO"))))</x:f>
        <x:v>CRÍTICO</x:v>
      </x:c>
      <x:c r="J25" s="429" t="str">
        <x:v>KPI-20</x:v>
      </x:c>
      <x:c r="K25" s="429" t="str">
        <x:v>Menor</x:v>
      </x:c>
    </x:row>
    <x:row r="26" ht="35" customHeight="1">
      <x:c r="B26" s="435" t="str">
        <x:v>Procesos internos</x:v>
      </x:c>
      <x:c r="C26" s="437"/>
      <x:c r="D26" s="402" t="s">
        <x:v>41</x:v>
      </x:c>
      <x:c r="E26" s="399" t="s">
        <x:v>13</x:v>
      </x:c>
      <x:c r="F26" s="420">
        <x:v>0.25</x:v>
      </x:c>
      <x:c r="G26" s="420">
        <x:v>0.22</x:v>
      </x:c>
      <x:c r="H26" s="404" t="n">
        <x:f>IF(OR(NOT(ISNUMBER(F26)),NOT(ISNUMBER(G26)),F26&lt;0,AND(K26="Mayor",F26=0)),"",IF(K26="Menor",IF(G26&lt;=F26,1,MAX(0,F26/G26)),MIN(1.5,MAX(0,G26/F26))))</x:f>
        <x:v>0.88</x:v>
      </x:c>
      <x:c r="I26" s="401" t="str">
        <x:f t="shared" si="3">IF(OR(NOT(ISNUMBER(F26)),NOT(ISNUMBER(G26))),"SIN DATOS",IF(NOT(ISNUMBER(H26)),"REVISAR META",IF(H26&gt;=1,"CUMPLIDO",IF(H26&gt;=0.8,"EN RIESGO","CRÍTICO"))))</x:f>
        <x:v>EN RIESGO</x:v>
      </x:c>
      <x:c r="J26" s="429" t="str">
        <x:v>KPI-21</x:v>
      </x:c>
      <x:c r="K26" s="429" t="str">
        <x:v>Mayor</x:v>
      </x:c>
    </x:row>
    <x:row r="27" ht="35" customHeight="1">
      <x:c r="B27" s="435" t="str">
        <x:v>Procesos internos</x:v>
      </x:c>
      <x:c r="C27" s="437" t="s">
        <x:v>42</x:v>
      </x:c>
      <x:c r="D27" s="424" t="s">
        <x:v>43</x:v>
      </x:c>
      <x:c r="E27" s="423" t="s">
        <x:v>35</x:v>
      </x:c>
      <x:c r="F27" s="420">
        <x:v>4</x:v>
      </x:c>
      <x:c r="G27" s="420">
        <x:v>3</x:v>
      </x:c>
      <x:c r="H27" s="427" t="n">
        <x:f>IF(OR(NOT(ISNUMBER(F27)),NOT(ISNUMBER(G27)),F27&lt;0,AND(K27="Mayor",F27=0)),"",IF(K27="Menor",IF(G27&lt;=F27,1,MAX(0,F27/G27)),MIN(1.5,MAX(0,G27/F27))))</x:f>
        <x:v>0.75</x:v>
      </x:c>
      <x:c r="I27" s="425" t="str">
        <x:f t="shared" si="3">IF(OR(NOT(ISNUMBER(F27)),NOT(ISNUMBER(G27))),"SIN DATOS",IF(NOT(ISNUMBER(H27)),"REVISAR META",IF(H27&gt;=1,"CUMPLIDO",IF(H27&gt;=0.8,"EN RIESGO","CRÍTICO"))))</x:f>
        <x:v>CRÍTICO</x:v>
      </x:c>
      <x:c r="J27" s="429" t="str">
        <x:v>KPI-22</x:v>
      </x:c>
      <x:c r="K27" s="429" t="str">
        <x:v>Mayor</x:v>
      </x:c>
    </x:row>
    <x:row r="28" ht="35" customHeight="1">
      <x:c r="B28" s="435" t="str">
        <x:v>Procesos internos</x:v>
      </x:c>
      <x:c r="C28" s="437"/>
      <x:c r="D28" s="402" t="s">
        <x:v>44</x:v>
      </x:c>
      <x:c r="E28" s="399" t="s">
        <x:v>45</x:v>
      </x:c>
      <x:c r="F28" s="420">
        <x:v>12</x:v>
      </x:c>
      <x:c r="G28" s="420">
        <x:v>15</x:v>
      </x:c>
      <x:c r="H28" s="404" t="n">
        <x:f>IF(OR(NOT(ISNUMBER(F28)),NOT(ISNUMBER(G28)),F28&lt;0,AND(K28="Mayor",F28=0)),"",IF(K28="Menor",IF(G28&lt;=F28,1,MAX(0,F28/G28)),MIN(1.5,MAX(0,G28/F28))))</x:f>
        <x:v>0.8</x:v>
      </x:c>
      <x:c r="I28" s="401" t="str">
        <x:f t="shared" si="3">IF(OR(NOT(ISNUMBER(F28)),NOT(ISNUMBER(G28))),"SIN DATOS",IF(NOT(ISNUMBER(H28)),"REVISAR META",IF(H28&gt;=1,"CUMPLIDO",IF(H28&gt;=0.8,"EN RIESGO","CRÍTICO"))))</x:f>
        <x:v>EN RIESGO</x:v>
      </x:c>
      <x:c r="J28" s="429" t="str">
        <x:v>KPI-23</x:v>
      </x:c>
      <x:c r="K28" s="429" t="str">
        <x:v>Menor</x:v>
      </x:c>
    </x:row>
    <x:row r="29" ht="35" customHeight="1">
      <x:c r="B29" s="435" t="str">
        <x:v>Procesos internos</x:v>
      </x:c>
      <x:c r="C29" s="437"/>
      <x:c r="D29" s="424" t="s">
        <x:v>46</x:v>
      </x:c>
      <x:c r="E29" s="423" t="s">
        <x:v>10</x:v>
      </x:c>
      <x:c r="F29" s="420">
        <x:v>25</x:v>
      </x:c>
      <x:c r="G29" s="420">
        <x:v>18</x:v>
      </x:c>
      <x:c r="H29" s="427" t="n">
        <x:f>IF(OR(NOT(ISNUMBER(F29)),NOT(ISNUMBER(G29)),F29&lt;0,AND(K29="Mayor",F29=0)),"",IF(K29="Menor",IF(G29&lt;=F29,1,MAX(0,F29/G29)),MIN(1.5,MAX(0,G29/F29))))</x:f>
        <x:v>0.72</x:v>
      </x:c>
      <x:c r="I29" s="425" t="str">
        <x:f t="shared" si="3">IF(OR(NOT(ISNUMBER(F29)),NOT(ISNUMBER(G29))),"SIN DATOS",IF(NOT(ISNUMBER(H29)),"REVISAR META",IF(H29&gt;=1,"CUMPLIDO",IF(H29&gt;=0.8,"EN RIESGO","CRÍTICO"))))</x:f>
        <x:v>CRÍTICO</x:v>
      </x:c>
      <x:c r="J29" s="429" t="str">
        <x:v>KPI-24</x:v>
      </x:c>
      <x:c r="K29" s="429" t="str">
        <x:v>Mayor</x:v>
      </x:c>
    </x:row>
    <x:row r="30" ht="35" customHeight="1">
      <x:c r="B30" s="435" t="str">
        <x:v>Procesos internos</x:v>
      </x:c>
      <x:c r="C30" s="437" t="s">
        <x:v>47</x:v>
      </x:c>
      <x:c r="D30" s="402" t="s">
        <x:v>48</x:v>
      </x:c>
      <x:c r="E30" s="399" t="s">
        <x:v>10</x:v>
      </x:c>
      <x:c r="F30" s="420">
        <x:v>95</x:v>
      </x:c>
      <x:c r="G30" s="420">
        <x:v>92</x:v>
      </x:c>
      <x:c r="H30" s="404" t="n">
        <x:f>IF(OR(NOT(ISNUMBER(F30)),NOT(ISNUMBER(G30)),F30&lt;0,AND(K30="Mayor",F30=0)),"",IF(K30="Menor",IF(G30&lt;=F30,1,MAX(0,F30/G30)),MIN(1.5,MAX(0,G30/F30))))</x:f>
        <x:v>0.968421052631579</x:v>
      </x:c>
      <x:c r="I30" s="401" t="str">
        <x:f t="shared" si="3">IF(OR(NOT(ISNUMBER(F30)),NOT(ISNUMBER(G30))),"SIN DATOS",IF(NOT(ISNUMBER(H30)),"REVISAR META",IF(H30&gt;=1,"CUMPLIDO",IF(H30&gt;=0.8,"EN RIESGO","CRÍTICO"))))</x:f>
        <x:v>EN RIESGO</x:v>
      </x:c>
      <x:c r="J30" s="429" t="str">
        <x:v>KPI-25</x:v>
      </x:c>
      <x:c r="K30" s="429" t="str">
        <x:v>Mayor</x:v>
      </x:c>
    </x:row>
    <x:row r="31" ht="35" customHeight="1">
      <x:c r="B31" s="435" t="str">
        <x:v>Procesos internos</x:v>
      </x:c>
      <x:c r="C31" s="437"/>
      <x:c r="D31" s="424" t="s">
        <x:v>49</x:v>
      </x:c>
      <x:c r="E31" s="423" t="s">
        <x:v>35</x:v>
      </x:c>
      <x:c r="F31" s="420">
        <x:v>5</x:v>
      </x:c>
      <x:c r="G31" s="420">
        <x:v>8</x:v>
      </x:c>
      <x:c r="H31" s="427" t="n">
        <x:f>IF(OR(NOT(ISNUMBER(F31)),NOT(ISNUMBER(G31)),F31&lt;0,AND(K31="Mayor",F31=0)),"",IF(K31="Menor",IF(G31&lt;=F31,1,MAX(0,F31/G31)),MIN(1.5,MAX(0,G31/F31))))</x:f>
        <x:v>0.625</x:v>
      </x:c>
      <x:c r="I31" s="425" t="str">
        <x:f t="shared" si="3">IF(OR(NOT(ISNUMBER(F31)),NOT(ISNUMBER(G31))),"SIN DATOS",IF(NOT(ISNUMBER(H31)),"REVISAR META",IF(H31&gt;=1,"CUMPLIDO",IF(H31&gt;=0.8,"EN RIESGO","CRÍTICO"))))</x:f>
        <x:v>CRÍTICO</x:v>
      </x:c>
      <x:c r="J31" s="429" t="str">
        <x:v>KPI-26</x:v>
      </x:c>
      <x:c r="K31" s="429" t="str">
        <x:v>Menor</x:v>
      </x:c>
    </x:row>
    <x:row r="32" ht="35" customHeight="1">
      <x:c r="B32" s="435" t="str">
        <x:v>Procesos internos</x:v>
      </x:c>
      <x:c r="C32" s="437"/>
      <x:c r="D32" s="402" t="s">
        <x:v>50</x:v>
      </x:c>
      <x:c r="E32" s="399" t="s">
        <x:v>10</x:v>
      </x:c>
      <x:c r="F32" s="420">
        <x:v>12</x:v>
      </x:c>
      <x:c r="G32" s="420">
        <x:v>14.5</x:v>
      </x:c>
      <x:c r="H32" s="404" t="n">
        <x:f>IF(OR(NOT(ISNUMBER(F32)),NOT(ISNUMBER(G32)),F32&lt;0,AND(K32="Mayor",F32=0)),"",IF(K32="Menor",IF(G32&lt;=F32,1,MAX(0,F32/G32)),MIN(1.5,MAX(0,G32/F32))))</x:f>
        <x:v>0.8275862068965517</x:v>
      </x:c>
      <x:c r="I32" s="401" t="str">
        <x:f t="shared" si="3">IF(OR(NOT(ISNUMBER(F32)),NOT(ISNUMBER(G32))),"SIN DATOS",IF(NOT(ISNUMBER(H32)),"REVISAR META",IF(H32&gt;=1,"CUMPLIDO",IF(H32&gt;=0.8,"EN RIESGO","CRÍTICO"))))</x:f>
        <x:v>EN RIESGO</x:v>
      </x:c>
      <x:c r="J32" s="429" t="str">
        <x:v>KPI-27</x:v>
      </x:c>
      <x:c r="K32" s="429" t="str">
        <x:v>Menor</x:v>
      </x:c>
    </x:row>
    <x:row r="33" ht="12" customHeight="1">
      <x:c r="B33" s="405"/>
      <x:c r="C33" s="405"/>
      <x:c r="D33" s="400"/>
      <x:c r="E33" s="400"/>
      <x:c r="F33" s="406"/>
      <x:c r="G33" s="406"/>
      <x:c r="H33" s="407"/>
      <x:c r="I33" s="400"/>
      <x:c r="J33" s="400"/>
      <x:c r="K33" s="400"/>
    </x:row>
    <x:row r="34" ht="35" customHeight="1">
      <x:c r="B34" s="439" t="str">
        <x:v>Aprendizaje y crecimiento</x:v>
      </x:c>
      <x:c r="C34" s="441" t="s">
        <x:v>51</x:v>
      </x:c>
      <x:c r="D34" s="402" t="s">
        <x:v>52</x:v>
      </x:c>
      <x:c r="E34" s="399" t="s">
        <x:v>53</x:v>
      </x:c>
      <x:c r="F34" s="420">
        <x:v>40</x:v>
      </x:c>
      <x:c r="G34" s="420">
        <x:v>35</x:v>
      </x:c>
      <x:c r="H34" s="404" t="n">
        <x:f>IF(OR(NOT(ISNUMBER(F34)),NOT(ISNUMBER(G34)),F34&lt;0,AND(K34="Mayor",F34=0)),"",IF(K34="Menor",IF(G34&lt;=F34,1,MAX(0,F34/G34)),MIN(1.5,MAX(0,G34/F34))))</x:f>
        <x:v>0.875</x:v>
      </x:c>
      <x:c r="I34" s="401" t="str">
        <x:f t="shared" ref="I34:I42" si="4">IF(OR(NOT(ISNUMBER(F34)),NOT(ISNUMBER(G34))),"SIN DATOS",IF(NOT(ISNUMBER(H34)),"REVISAR META",IF(H34&gt;=1,"CUMPLIDO",IF(H34&gt;=0.8,"EN RIESGO","CRÍTICO"))))</x:f>
        <x:v>EN RIESGO</x:v>
      </x:c>
      <x:c r="J34" s="429" t="str">
        <x:v>KPI-28</x:v>
      </x:c>
      <x:c r="K34" s="429" t="str">
        <x:v>Mayor</x:v>
      </x:c>
    </x:row>
    <x:row r="35" ht="35" customHeight="1">
      <x:c r="B35" s="439" t="str">
        <x:v>Aprendizaje y crecimiento</x:v>
      </x:c>
      <x:c r="C35" s="441"/>
      <x:c r="D35" s="424" t="s">
        <x:v>54</x:v>
      </x:c>
      <x:c r="E35" s="423" t="s">
        <x:v>10</x:v>
      </x:c>
      <x:c r="F35" s="420">
        <x:v>80</x:v>
      </x:c>
      <x:c r="G35" s="420">
        <x:v>72</x:v>
      </x:c>
      <x:c r="H35" s="427" t="n">
        <x:f>IF(OR(NOT(ISNUMBER(F35)),NOT(ISNUMBER(G35)),F35&lt;0,AND(K35="Mayor",F35=0)),"",IF(K35="Menor",IF(G35&lt;=F35,1,MAX(0,F35/G35)),MIN(1.5,MAX(0,G35/F35))))</x:f>
        <x:v>0.9</x:v>
      </x:c>
      <x:c r="I35" s="425" t="str">
        <x:f t="shared" si="4">IF(OR(NOT(ISNUMBER(F35)),NOT(ISNUMBER(G35))),"SIN DATOS",IF(NOT(ISNUMBER(H35)),"REVISAR META",IF(H35&gt;=1,"CUMPLIDO",IF(H35&gt;=0.8,"EN RIESGO","CRÍTICO"))))</x:f>
        <x:v>EN RIESGO</x:v>
      </x:c>
      <x:c r="J35" s="429" t="str">
        <x:v>KPI-29</x:v>
      </x:c>
      <x:c r="K35" s="429" t="str">
        <x:v>Mayor</x:v>
      </x:c>
    </x:row>
    <x:row r="36" ht="35" customHeight="1">
      <x:c r="B36" s="439" t="str">
        <x:v>Aprendizaje y crecimiento</x:v>
      </x:c>
      <x:c r="C36" s="441"/>
      <x:c r="D36" s="402" t="s">
        <x:v>55</x:v>
      </x:c>
      <x:c r="E36" s="399" t="s">
        <x:v>10</x:v>
      </x:c>
      <x:c r="F36" s="420">
        <x:v>85</x:v>
      </x:c>
      <x:c r="G36" s="420">
        <x:v>74</x:v>
      </x:c>
      <x:c r="H36" s="404" t="n">
        <x:f>IF(OR(NOT(ISNUMBER(F36)),NOT(ISNUMBER(G36)),F36&lt;0,AND(K36="Mayor",F36=0)),"",IF(K36="Menor",IF(G36&lt;=F36,1,MAX(0,F36/G36)),MIN(1.5,MAX(0,G36/F36))))</x:f>
        <x:v>0.8705882352941177</x:v>
      </x:c>
      <x:c r="I36" s="401" t="str">
        <x:f t="shared" si="4">IF(OR(NOT(ISNUMBER(F36)),NOT(ISNUMBER(G36))),"SIN DATOS",IF(NOT(ISNUMBER(H36)),"REVISAR META",IF(H36&gt;=1,"CUMPLIDO",IF(H36&gt;=0.8,"EN RIESGO","CRÍTICO"))))</x:f>
        <x:v>EN RIESGO</x:v>
      </x:c>
      <x:c r="J36" s="429" t="str">
        <x:v>KPI-30</x:v>
      </x:c>
      <x:c r="K36" s="429" t="str">
        <x:v>Mayor</x:v>
      </x:c>
    </x:row>
    <x:row r="37" ht="35" customHeight="1">
      <x:c r="B37" s="439" t="str">
        <x:v>Aprendizaje y crecimiento</x:v>
      </x:c>
      <x:c r="C37" s="441" t="s">
        <x:v>56</x:v>
      </x:c>
      <x:c r="D37" s="424" t="s">
        <x:v>57</x:v>
      </x:c>
      <x:c r="E37" s="423" t="s">
        <x:v>10</x:v>
      </x:c>
      <x:c r="F37" s="420">
        <x:v>75</x:v>
      </x:c>
      <x:c r="G37" s="420">
        <x:v>68</x:v>
      </x:c>
      <x:c r="H37" s="427" t="n">
        <x:f>IF(OR(NOT(ISNUMBER(F37)),NOT(ISNUMBER(G37)),F37&lt;0,AND(K37="Mayor",F37=0)),"",IF(K37="Menor",IF(G37&lt;=F37,1,MAX(0,F37/G37)),MIN(1.5,MAX(0,G37/F37))))</x:f>
        <x:v>0.9066666666666666</x:v>
      </x:c>
      <x:c r="I37" s="425" t="str">
        <x:f t="shared" si="4">IF(OR(NOT(ISNUMBER(F37)),NOT(ISNUMBER(G37))),"SIN DATOS",IF(NOT(ISNUMBER(H37)),"REVISAR META",IF(H37&gt;=1,"CUMPLIDO",IF(H37&gt;=0.8,"EN RIESGO","CRÍTICO"))))</x:f>
        <x:v>EN RIESGO</x:v>
      </x:c>
      <x:c r="J37" s="429" t="str">
        <x:v>KPI-31</x:v>
      </x:c>
      <x:c r="K37" s="429" t="str">
        <x:v>Mayor</x:v>
      </x:c>
    </x:row>
    <x:row r="38" ht="35" customHeight="1">
      <x:c r="B38" s="439" t="str">
        <x:v>Aprendizaje y crecimiento</x:v>
      </x:c>
      <x:c r="C38" s="441"/>
      <x:c r="D38" s="402" t="s">
        <x:v>58</x:v>
      </x:c>
      <x:c r="E38" s="399" t="s">
        <x:v>10</x:v>
      </x:c>
      <x:c r="F38" s="420">
        <x:v>8</x:v>
      </x:c>
      <x:c r="G38" s="420">
        <x:v>10</x:v>
      </x:c>
      <x:c r="H38" s="404" t="n">
        <x:f>IF(OR(NOT(ISNUMBER(F38)),NOT(ISNUMBER(G38)),F38&lt;0,AND(K38="Mayor",F38=0)),"",IF(K38="Menor",IF(G38&lt;=F38,1,MAX(0,F38/G38)),MIN(1.5,MAX(0,G38/F38))))</x:f>
        <x:v>0.8</x:v>
      </x:c>
      <x:c r="I38" s="401" t="str">
        <x:f t="shared" si="4">IF(OR(NOT(ISNUMBER(F38)),NOT(ISNUMBER(G38))),"SIN DATOS",IF(NOT(ISNUMBER(H38)),"REVISAR META",IF(H38&gt;=1,"CUMPLIDO",IF(H38&gt;=0.8,"EN RIESGO","CRÍTICO"))))</x:f>
        <x:v>EN RIESGO</x:v>
      </x:c>
      <x:c r="J38" s="429" t="str">
        <x:v>KPI-32</x:v>
      </x:c>
      <x:c r="K38" s="429" t="str">
        <x:v>Menor</x:v>
      </x:c>
    </x:row>
    <x:row r="39" ht="35" customHeight="1">
      <x:c r="B39" s="439" t="str">
        <x:v>Aprendizaje y crecimiento</x:v>
      </x:c>
      <x:c r="C39" s="441"/>
      <x:c r="D39" s="424" t="s">
        <x:v>59</x:v>
      </x:c>
      <x:c r="E39" s="423" t="s">
        <x:v>10</x:v>
      </x:c>
      <x:c r="F39" s="420">
        <x:v>95</x:v>
      </x:c>
      <x:c r="G39" s="420">
        <x:v>88</x:v>
      </x:c>
      <x:c r="H39" s="427" t="n">
        <x:f>IF(OR(NOT(ISNUMBER(F39)),NOT(ISNUMBER(G39)),F39&lt;0,AND(K39="Mayor",F39=0)),"",IF(K39="Menor",IF(G39&lt;=F39,1,MAX(0,F39/G39)),MIN(1.5,MAX(0,G39/F39))))</x:f>
        <x:v>0.9263157894736842</x:v>
      </x:c>
      <x:c r="I39" s="425" t="str">
        <x:f t="shared" si="4">IF(OR(NOT(ISNUMBER(F39)),NOT(ISNUMBER(G39))),"SIN DATOS",IF(NOT(ISNUMBER(H39)),"REVISAR META",IF(H39&gt;=1,"CUMPLIDO",IF(H39&gt;=0.8,"EN RIESGO","CRÍTICO"))))</x:f>
        <x:v>EN RIESGO</x:v>
      </x:c>
      <x:c r="J39" s="429" t="str">
        <x:v>KPI-33</x:v>
      </x:c>
      <x:c r="K39" s="429" t="str">
        <x:v>Mayor</x:v>
      </x:c>
    </x:row>
    <x:row r="40" ht="35" customHeight="1">
      <x:c r="B40" s="439" t="str">
        <x:v>Aprendizaje y crecimiento</x:v>
      </x:c>
      <x:c r="C40" s="441" t="s">
        <x:v>60</x:v>
      </x:c>
      <x:c r="D40" s="402" t="s">
        <x:v>61</x:v>
      </x:c>
      <x:c r="E40" s="399" t="s">
        <x:v>35</x:v>
      </x:c>
      <x:c r="F40" s="420">
        <x:v>6</x:v>
      </x:c>
      <x:c r="G40" s="420">
        <x:v>5</x:v>
      </x:c>
      <x:c r="H40" s="404" t="n">
        <x:f>IF(OR(NOT(ISNUMBER(F40)),NOT(ISNUMBER(G40)),F40&lt;0,AND(K40="Mayor",F40=0)),"",IF(K40="Menor",IF(G40&lt;=F40,1,MAX(0,F40/G40)),MIN(1.5,MAX(0,G40/F40))))</x:f>
        <x:v>0.8333333333333334</x:v>
      </x:c>
      <x:c r="I40" s="401" t="str">
        <x:f t="shared" si="4">IF(OR(NOT(ISNUMBER(F40)),NOT(ISNUMBER(G40))),"SIN DATOS",IF(NOT(ISNUMBER(H40)),"REVISAR META",IF(H40&gt;=1,"CUMPLIDO",IF(H40&gt;=0.8,"EN RIESGO","CRÍTICO"))))</x:f>
        <x:v>EN RIESGO</x:v>
      </x:c>
      <x:c r="J40" s="429" t="str">
        <x:v>KPI-34</x:v>
      </x:c>
      <x:c r="K40" s="429" t="str">
        <x:v>Mayor</x:v>
      </x:c>
    </x:row>
    <x:row r="41" ht="35" customHeight="1">
      <x:c r="B41" s="439" t="str">
        <x:v>Aprendizaje y crecimiento</x:v>
      </x:c>
      <x:c r="C41" s="441"/>
      <x:c r="D41" s="424" t="s">
        <x:v>62</x:v>
      </x:c>
      <x:c r="E41" s="423" t="s">
        <x:v>10</x:v>
      </x:c>
      <x:c r="F41" s="420">
        <x:v>5</x:v>
      </x:c>
      <x:c r="G41" s="420">
        <x:v>3.8</x:v>
      </x:c>
      <x:c r="H41" s="427" t="n">
        <x:f>IF(OR(NOT(ISNUMBER(F41)),NOT(ISNUMBER(G41)),F41&lt;0,AND(K41="Mayor",F41=0)),"",IF(K41="Menor",IF(G41&lt;=F41,1,MAX(0,F41/G41)),MIN(1.5,MAX(0,G41/F41))))</x:f>
        <x:v>0.76</x:v>
      </x:c>
      <x:c r="I41" s="425" t="str">
        <x:f t="shared" si="4">IF(OR(NOT(ISNUMBER(F41)),NOT(ISNUMBER(G41))),"SIN DATOS",IF(NOT(ISNUMBER(H41)),"REVISAR META",IF(H41&gt;=1,"CUMPLIDO",IF(H41&gt;=0.8,"EN RIESGO","CRÍTICO"))))</x:f>
        <x:v>CRÍTICO</x:v>
      </x:c>
      <x:c r="J41" s="429" t="str">
        <x:v>KPI-35</x:v>
      </x:c>
      <x:c r="K41" s="429" t="str">
        <x:v>Mayor</x:v>
      </x:c>
    </x:row>
    <x:row r="42" ht="35" customHeight="1">
      <x:c r="B42" s="439" t="str">
        <x:v>Aprendizaje y crecimiento</x:v>
      </x:c>
      <x:c r="C42" s="441"/>
      <x:c r="D42" s="402" t="s">
        <x:v>63</x:v>
      </x:c>
      <x:c r="E42" s="399" t="s">
        <x:v>35</x:v>
      </x:c>
      <x:c r="F42" s="420">
        <x:v>24</x:v>
      </x:c>
      <x:c r="G42" s="420">
        <x:v>16</x:v>
      </x:c>
      <x:c r="H42" s="404" t="n">
        <x:f>IF(OR(NOT(ISNUMBER(F42)),NOT(ISNUMBER(G42)),F42&lt;0,AND(K42="Mayor",F42=0)),"",IF(K42="Menor",IF(G42&lt;=F42,1,MAX(0,F42/G42)),MIN(1.5,MAX(0,G42/F42))))</x:f>
        <x:v>0.6666666666666666</x:v>
      </x:c>
      <x:c r="I42" s="401" t="str">
        <x:f t="shared" si="4">IF(OR(NOT(ISNUMBER(F42)),NOT(ISNUMBER(G42))),"SIN DATOS",IF(NOT(ISNUMBER(H42)),"REVISAR META",IF(H42&gt;=1,"CUMPLIDO",IF(H42&gt;=0.8,"EN RIESGO","CRÍTICO"))))</x:f>
        <x:v>CRÍTICO</x:v>
      </x:c>
      <x:c r="J42" s="429" t="str">
        <x:v>KPI-36</x:v>
      </x:c>
      <x:c r="K42" s="429" t="str">
        <x:v>Mayor</x:v>
      </x:c>
    </x:row>
    <x:row r="43" ht="6" customHeight="1">
      <x:c r="B43" s="400"/>
      <x:c r="C43" s="400"/>
      <x:c r="D43" s="400"/>
      <x:c r="E43" s="400"/>
      <x:c r="F43" s="400"/>
      <x:c r="G43" s="400"/>
      <x:c r="H43" s="400"/>
      <x:c r="I43" s="400"/>
      <x:c r="J43" s="400"/>
      <x:c r="K43" s="400"/>
    </x:row>
    <x:row r="44" ht="40" customHeight="1">
      <x:c r="B44" s="443" t="str">
        <x:v>ÍNDICE GLOBAL: promedio por objetivo y perspectiva</x:v>
      </x:c>
      <x:c r="C44" s="443"/>
      <x:c r="D44" s="443"/>
      <x:c r="E44" s="443"/>
      <x:c r="F44" s="443"/>
      <x:c r="G44" s="443"/>
      <x:c r="H44" s="444" t="n">
        <x:f>'📈 Dashboard'!B6</x:f>
        <x:v>0.8422715272347814</x:v>
      </x:c>
      <x:c r="I44" s="444"/>
      <x:c r="J44" s="400"/>
      <x:c r="K44" s="400"/>
    </x:row>
  </x:sheetData>
  <x:mergeCells>
    <x:mergeCell ref="H44:I44"/>
    <x:mergeCell ref="C34:C36"/>
    <x:mergeCell ref="C37:C39"/>
    <x:mergeCell ref="C40:C42"/>
    <x:mergeCell ref="B44:G44"/>
    <x:mergeCell ref="C14:C16"/>
    <x:mergeCell ref="C17:C19"/>
    <x:mergeCell ref="C20:C22"/>
    <x:mergeCell ref="C24:C26"/>
    <x:mergeCell ref="C27:C29"/>
    <x:mergeCell ref="C30:C32"/>
    <x:mergeCell ref="B2:I2"/>
    <x:mergeCell ref="C4:C6"/>
    <x:mergeCell ref="C7:C9"/>
    <x:mergeCell ref="C10:C12"/>
  </x:mergeCells>
  <x:conditionalFormatting sqref="H4:H4">
    <x:cfRule type="expression" dxfId="486" priority="217">
      <x:formula>AND(ISNUMBER(H4),H4&gt;=1)</x:formula>
    </x:cfRule>
    <x:cfRule type="expression" dxfId="487" priority="218">
      <x:formula>AND(ISNUMBER(H4),H4&gt;=0.8,H4&lt;1)</x:formula>
    </x:cfRule>
    <x:cfRule type="expression" dxfId="488" priority="219">
      <x:formula>AND(ISNUMBER(H4),H4&lt;0.8)</x:formula>
    </x:cfRule>
  </x:conditionalFormatting>
  <x:conditionalFormatting sqref="I4:I4">
    <x:cfRule type="expression" dxfId="489" priority="220">
      <x:formula>I4="CUMPLIDO"</x:formula>
    </x:cfRule>
    <x:cfRule type="expression" dxfId="490" priority="221">
      <x:formula>I4="EN RIESGO"</x:formula>
    </x:cfRule>
    <x:cfRule type="expression" dxfId="491" priority="222">
      <x:formula>I4="CRÍTICO"</x:formula>
    </x:cfRule>
  </x:conditionalFormatting>
  <x:conditionalFormatting sqref="H5:H5">
    <x:cfRule type="expression" dxfId="492" priority="223">
      <x:formula>AND(ISNUMBER(H5),H5&gt;=1)</x:formula>
    </x:cfRule>
    <x:cfRule type="expression" dxfId="493" priority="224">
      <x:formula>AND(ISNUMBER(H5),H5&gt;=0.8,H5&lt;1)</x:formula>
    </x:cfRule>
    <x:cfRule type="expression" dxfId="494" priority="225">
      <x:formula>AND(ISNUMBER(H5),H5&lt;0.8)</x:formula>
    </x:cfRule>
  </x:conditionalFormatting>
  <x:conditionalFormatting sqref="I5:I5">
    <x:cfRule type="expression" dxfId="495" priority="226">
      <x:formula>I5="CUMPLIDO"</x:formula>
    </x:cfRule>
    <x:cfRule type="expression" dxfId="496" priority="227">
      <x:formula>I5="EN RIESGO"</x:formula>
    </x:cfRule>
    <x:cfRule type="expression" dxfId="497" priority="228">
      <x:formula>I5="CRÍTICO"</x:formula>
    </x:cfRule>
  </x:conditionalFormatting>
  <x:conditionalFormatting sqref="H6:H6">
    <x:cfRule type="expression" dxfId="498" priority="229">
      <x:formula>AND(ISNUMBER(H6),H6&gt;=1)</x:formula>
    </x:cfRule>
    <x:cfRule type="expression" dxfId="499" priority="230">
      <x:formula>AND(ISNUMBER(H6),H6&gt;=0.8,H6&lt;1)</x:formula>
    </x:cfRule>
    <x:cfRule type="expression" dxfId="500" priority="231">
      <x:formula>AND(ISNUMBER(H6),H6&lt;0.8)</x:formula>
    </x:cfRule>
  </x:conditionalFormatting>
  <x:conditionalFormatting sqref="I6:I6">
    <x:cfRule type="expression" dxfId="501" priority="232">
      <x:formula>I6="CUMPLIDO"</x:formula>
    </x:cfRule>
    <x:cfRule type="expression" dxfId="502" priority="233">
      <x:formula>I6="EN RIESGO"</x:formula>
    </x:cfRule>
    <x:cfRule type="expression" dxfId="503" priority="234">
      <x:formula>I6="CRÍTICO"</x:formula>
    </x:cfRule>
  </x:conditionalFormatting>
  <x:conditionalFormatting sqref="H7:H7">
    <x:cfRule type="expression" dxfId="504" priority="235">
      <x:formula>AND(ISNUMBER(H7),H7&gt;=1)</x:formula>
    </x:cfRule>
    <x:cfRule type="expression" dxfId="505" priority="236">
      <x:formula>AND(ISNUMBER(H7),H7&gt;=0.8,H7&lt;1)</x:formula>
    </x:cfRule>
    <x:cfRule type="expression" dxfId="506" priority="237">
      <x:formula>AND(ISNUMBER(H7),H7&lt;0.8)</x:formula>
    </x:cfRule>
  </x:conditionalFormatting>
  <x:conditionalFormatting sqref="I7:I7">
    <x:cfRule type="expression" dxfId="507" priority="238">
      <x:formula>I7="CUMPLIDO"</x:formula>
    </x:cfRule>
    <x:cfRule type="expression" dxfId="508" priority="239">
      <x:formula>I7="EN RIESGO"</x:formula>
    </x:cfRule>
    <x:cfRule type="expression" dxfId="509" priority="240">
      <x:formula>I7="CRÍTICO"</x:formula>
    </x:cfRule>
  </x:conditionalFormatting>
  <x:conditionalFormatting sqref="H8:H8">
    <x:cfRule type="expression" dxfId="510" priority="241">
      <x:formula>AND(ISNUMBER(H8),H8&gt;=1)</x:formula>
    </x:cfRule>
    <x:cfRule type="expression" dxfId="511" priority="242">
      <x:formula>AND(ISNUMBER(H8),H8&gt;=0.8,H8&lt;1)</x:formula>
    </x:cfRule>
    <x:cfRule type="expression" dxfId="512" priority="243">
      <x:formula>AND(ISNUMBER(H8),H8&lt;0.8)</x:formula>
    </x:cfRule>
  </x:conditionalFormatting>
  <x:conditionalFormatting sqref="I8:I8">
    <x:cfRule type="expression" dxfId="513" priority="244">
      <x:formula>I8="CUMPLIDO"</x:formula>
    </x:cfRule>
    <x:cfRule type="expression" dxfId="514" priority="245">
      <x:formula>I8="EN RIESGO"</x:formula>
    </x:cfRule>
    <x:cfRule type="expression" dxfId="515" priority="246">
      <x:formula>I8="CRÍTICO"</x:formula>
    </x:cfRule>
  </x:conditionalFormatting>
  <x:conditionalFormatting sqref="H9:H9">
    <x:cfRule type="expression" dxfId="516" priority="247">
      <x:formula>AND(ISNUMBER(H9),H9&gt;=1)</x:formula>
    </x:cfRule>
    <x:cfRule type="expression" dxfId="517" priority="248">
      <x:formula>AND(ISNUMBER(H9),H9&gt;=0.8,H9&lt;1)</x:formula>
    </x:cfRule>
    <x:cfRule type="expression" dxfId="518" priority="249">
      <x:formula>AND(ISNUMBER(H9),H9&lt;0.8)</x:formula>
    </x:cfRule>
  </x:conditionalFormatting>
  <x:conditionalFormatting sqref="I9:I9">
    <x:cfRule type="expression" dxfId="519" priority="250">
      <x:formula>I9="CUMPLIDO"</x:formula>
    </x:cfRule>
    <x:cfRule type="expression" dxfId="520" priority="251">
      <x:formula>I9="EN RIESGO"</x:formula>
    </x:cfRule>
    <x:cfRule type="expression" dxfId="521" priority="252">
      <x:formula>I9="CRÍTICO"</x:formula>
    </x:cfRule>
  </x:conditionalFormatting>
  <x:conditionalFormatting sqref="H10:H10">
    <x:cfRule type="expression" dxfId="522" priority="253">
      <x:formula>AND(ISNUMBER(H10),H10&gt;=1)</x:formula>
    </x:cfRule>
    <x:cfRule type="expression" dxfId="523" priority="254">
      <x:formula>AND(ISNUMBER(H10),H10&gt;=0.8,H10&lt;1)</x:formula>
    </x:cfRule>
    <x:cfRule type="expression" dxfId="524" priority="255">
      <x:formula>AND(ISNUMBER(H10),H10&lt;0.8)</x:formula>
    </x:cfRule>
  </x:conditionalFormatting>
  <x:conditionalFormatting sqref="I10:I10">
    <x:cfRule type="expression" dxfId="525" priority="256">
      <x:formula>I10="CUMPLIDO"</x:formula>
    </x:cfRule>
    <x:cfRule type="expression" dxfId="526" priority="257">
      <x:formula>I10="EN RIESGO"</x:formula>
    </x:cfRule>
    <x:cfRule type="expression" dxfId="527" priority="258">
      <x:formula>I10="CRÍTICO"</x:formula>
    </x:cfRule>
  </x:conditionalFormatting>
  <x:conditionalFormatting sqref="H11:H11">
    <x:cfRule type="expression" dxfId="528" priority="259">
      <x:formula>AND(ISNUMBER(H11),H11&gt;=1)</x:formula>
    </x:cfRule>
    <x:cfRule type="expression" dxfId="529" priority="260">
      <x:formula>AND(ISNUMBER(H11),H11&gt;=0.8,H11&lt;1)</x:formula>
    </x:cfRule>
    <x:cfRule type="expression" dxfId="530" priority="261">
      <x:formula>AND(ISNUMBER(H11),H11&lt;0.8)</x:formula>
    </x:cfRule>
  </x:conditionalFormatting>
  <x:conditionalFormatting sqref="I11:I11">
    <x:cfRule type="expression" dxfId="531" priority="262">
      <x:formula>I11="CUMPLIDO"</x:formula>
    </x:cfRule>
    <x:cfRule type="expression" dxfId="532" priority="263">
      <x:formula>I11="EN RIESGO"</x:formula>
    </x:cfRule>
    <x:cfRule type="expression" dxfId="533" priority="264">
      <x:formula>I11="CRÍTICO"</x:formula>
    </x:cfRule>
  </x:conditionalFormatting>
  <x:conditionalFormatting sqref="H12:H12">
    <x:cfRule type="expression" dxfId="534" priority="265">
      <x:formula>AND(ISNUMBER(H12),H12&gt;=1)</x:formula>
    </x:cfRule>
    <x:cfRule type="expression" dxfId="535" priority="266">
      <x:formula>AND(ISNUMBER(H12),H12&gt;=0.8,H12&lt;1)</x:formula>
    </x:cfRule>
    <x:cfRule type="expression" dxfId="536" priority="267">
      <x:formula>AND(ISNUMBER(H12),H12&lt;0.8)</x:formula>
    </x:cfRule>
  </x:conditionalFormatting>
  <x:conditionalFormatting sqref="I12:I12">
    <x:cfRule type="expression" dxfId="537" priority="268">
      <x:formula>I12="CUMPLIDO"</x:formula>
    </x:cfRule>
    <x:cfRule type="expression" dxfId="538" priority="269">
      <x:formula>I12="EN RIESGO"</x:formula>
    </x:cfRule>
    <x:cfRule type="expression" dxfId="539" priority="270">
      <x:formula>I12="CRÍTICO"</x:formula>
    </x:cfRule>
  </x:conditionalFormatting>
  <x:conditionalFormatting sqref="H14:H14">
    <x:cfRule type="expression" dxfId="540" priority="271">
      <x:formula>AND(ISNUMBER(H14),H14&gt;=1)</x:formula>
    </x:cfRule>
    <x:cfRule type="expression" dxfId="541" priority="272">
      <x:formula>AND(ISNUMBER(H14),H14&gt;=0.8,H14&lt;1)</x:formula>
    </x:cfRule>
    <x:cfRule type="expression" dxfId="542" priority="273">
      <x:formula>AND(ISNUMBER(H14),H14&lt;0.8)</x:formula>
    </x:cfRule>
  </x:conditionalFormatting>
  <x:conditionalFormatting sqref="I14:I14">
    <x:cfRule type="expression" dxfId="543" priority="274">
      <x:formula>I14="CUMPLIDO"</x:formula>
    </x:cfRule>
    <x:cfRule type="expression" dxfId="544" priority="275">
      <x:formula>I14="EN RIESGO"</x:formula>
    </x:cfRule>
    <x:cfRule type="expression" dxfId="545" priority="276">
      <x:formula>I14="CRÍTICO"</x:formula>
    </x:cfRule>
  </x:conditionalFormatting>
  <x:conditionalFormatting sqref="H15:H15">
    <x:cfRule type="expression" dxfId="546" priority="277">
      <x:formula>AND(ISNUMBER(H15),H15&gt;=1)</x:formula>
    </x:cfRule>
    <x:cfRule type="expression" dxfId="547" priority="278">
      <x:formula>AND(ISNUMBER(H15),H15&gt;=0.8,H15&lt;1)</x:formula>
    </x:cfRule>
    <x:cfRule type="expression" dxfId="548" priority="279">
      <x:formula>AND(ISNUMBER(H15),H15&lt;0.8)</x:formula>
    </x:cfRule>
  </x:conditionalFormatting>
  <x:conditionalFormatting sqref="I15:I15">
    <x:cfRule type="expression" dxfId="549" priority="280">
      <x:formula>I15="CUMPLIDO"</x:formula>
    </x:cfRule>
    <x:cfRule type="expression" dxfId="550" priority="281">
      <x:formula>I15="EN RIESGO"</x:formula>
    </x:cfRule>
    <x:cfRule type="expression" dxfId="551" priority="282">
      <x:formula>I15="CRÍTICO"</x:formula>
    </x:cfRule>
  </x:conditionalFormatting>
  <x:conditionalFormatting sqref="H16:H16">
    <x:cfRule type="expression" dxfId="552" priority="283">
      <x:formula>AND(ISNUMBER(H16),H16&gt;=1)</x:formula>
    </x:cfRule>
    <x:cfRule type="expression" dxfId="553" priority="284">
      <x:formula>AND(ISNUMBER(H16),H16&gt;=0.8,H16&lt;1)</x:formula>
    </x:cfRule>
    <x:cfRule type="expression" dxfId="554" priority="285">
      <x:formula>AND(ISNUMBER(H16),H16&lt;0.8)</x:formula>
    </x:cfRule>
  </x:conditionalFormatting>
  <x:conditionalFormatting sqref="I16:I16">
    <x:cfRule type="expression" dxfId="555" priority="286">
      <x:formula>I16="CUMPLIDO"</x:formula>
    </x:cfRule>
    <x:cfRule type="expression" dxfId="556" priority="287">
      <x:formula>I16="EN RIESGO"</x:formula>
    </x:cfRule>
    <x:cfRule type="expression" dxfId="557" priority="288">
      <x:formula>I16="CRÍTICO"</x:formula>
    </x:cfRule>
  </x:conditionalFormatting>
  <x:conditionalFormatting sqref="H17:H17">
    <x:cfRule type="expression" dxfId="558" priority="289">
      <x:formula>AND(ISNUMBER(H17),H17&gt;=1)</x:formula>
    </x:cfRule>
    <x:cfRule type="expression" dxfId="559" priority="290">
      <x:formula>AND(ISNUMBER(H17),H17&gt;=0.8,H17&lt;1)</x:formula>
    </x:cfRule>
    <x:cfRule type="expression" dxfId="560" priority="291">
      <x:formula>AND(ISNUMBER(H17),H17&lt;0.8)</x:formula>
    </x:cfRule>
  </x:conditionalFormatting>
  <x:conditionalFormatting sqref="I17:I17">
    <x:cfRule type="expression" dxfId="561" priority="292">
      <x:formula>I17="CUMPLIDO"</x:formula>
    </x:cfRule>
    <x:cfRule type="expression" dxfId="562" priority="293">
      <x:formula>I17="EN RIESGO"</x:formula>
    </x:cfRule>
    <x:cfRule type="expression" dxfId="563" priority="294">
      <x:formula>I17="CRÍTICO"</x:formula>
    </x:cfRule>
  </x:conditionalFormatting>
  <x:conditionalFormatting sqref="H18:H18">
    <x:cfRule type="expression" dxfId="564" priority="295">
      <x:formula>AND(ISNUMBER(H18),H18&gt;=1)</x:formula>
    </x:cfRule>
    <x:cfRule type="expression" dxfId="565" priority="296">
      <x:formula>AND(ISNUMBER(H18),H18&gt;=0.8,H18&lt;1)</x:formula>
    </x:cfRule>
    <x:cfRule type="expression" dxfId="566" priority="297">
      <x:formula>AND(ISNUMBER(H18),H18&lt;0.8)</x:formula>
    </x:cfRule>
  </x:conditionalFormatting>
  <x:conditionalFormatting sqref="I18:I18">
    <x:cfRule type="expression" dxfId="567" priority="298">
      <x:formula>I18="CUMPLIDO"</x:formula>
    </x:cfRule>
    <x:cfRule type="expression" dxfId="568" priority="299">
      <x:formula>I18="EN RIESGO"</x:formula>
    </x:cfRule>
    <x:cfRule type="expression" dxfId="569" priority="300">
      <x:formula>I18="CRÍTICO"</x:formula>
    </x:cfRule>
  </x:conditionalFormatting>
  <x:conditionalFormatting sqref="H19:H19">
    <x:cfRule type="expression" dxfId="570" priority="301">
      <x:formula>AND(ISNUMBER(H19),H19&gt;=1)</x:formula>
    </x:cfRule>
    <x:cfRule type="expression" dxfId="571" priority="302">
      <x:formula>AND(ISNUMBER(H19),H19&gt;=0.8,H19&lt;1)</x:formula>
    </x:cfRule>
    <x:cfRule type="expression" dxfId="572" priority="303">
      <x:formula>AND(ISNUMBER(H19),H19&lt;0.8)</x:formula>
    </x:cfRule>
  </x:conditionalFormatting>
  <x:conditionalFormatting sqref="I19:I19">
    <x:cfRule type="expression" dxfId="573" priority="304">
      <x:formula>I19="CUMPLIDO"</x:formula>
    </x:cfRule>
    <x:cfRule type="expression" dxfId="574" priority="305">
      <x:formula>I19="EN RIESGO"</x:formula>
    </x:cfRule>
    <x:cfRule type="expression" dxfId="575" priority="306">
      <x:formula>I19="CRÍTICO"</x:formula>
    </x:cfRule>
  </x:conditionalFormatting>
  <x:conditionalFormatting sqref="H20:H20">
    <x:cfRule type="expression" dxfId="576" priority="307">
      <x:formula>AND(ISNUMBER(H20),H20&gt;=1)</x:formula>
    </x:cfRule>
    <x:cfRule type="expression" dxfId="577" priority="308">
      <x:formula>AND(ISNUMBER(H20),H20&gt;=0.8,H20&lt;1)</x:formula>
    </x:cfRule>
    <x:cfRule type="expression" dxfId="578" priority="309">
      <x:formula>AND(ISNUMBER(H20),H20&lt;0.8)</x:formula>
    </x:cfRule>
  </x:conditionalFormatting>
  <x:conditionalFormatting sqref="I20:I20">
    <x:cfRule type="expression" dxfId="579" priority="310">
      <x:formula>I20="CUMPLIDO"</x:formula>
    </x:cfRule>
    <x:cfRule type="expression" dxfId="580" priority="311">
      <x:formula>I20="EN RIESGO"</x:formula>
    </x:cfRule>
    <x:cfRule type="expression" dxfId="581" priority="312">
      <x:formula>I20="CRÍTICO"</x:formula>
    </x:cfRule>
  </x:conditionalFormatting>
  <x:conditionalFormatting sqref="H21:H21">
    <x:cfRule type="expression" dxfId="582" priority="313">
      <x:formula>AND(ISNUMBER(H21),H21&gt;=1)</x:formula>
    </x:cfRule>
    <x:cfRule type="expression" dxfId="583" priority="314">
      <x:formula>AND(ISNUMBER(H21),H21&gt;=0.8,H21&lt;1)</x:formula>
    </x:cfRule>
    <x:cfRule type="expression" dxfId="584" priority="315">
      <x:formula>AND(ISNUMBER(H21),H21&lt;0.8)</x:formula>
    </x:cfRule>
  </x:conditionalFormatting>
  <x:conditionalFormatting sqref="I21:I21">
    <x:cfRule type="expression" dxfId="585" priority="316">
      <x:formula>I21="CUMPLIDO"</x:formula>
    </x:cfRule>
    <x:cfRule type="expression" dxfId="586" priority="317">
      <x:formula>I21="EN RIESGO"</x:formula>
    </x:cfRule>
    <x:cfRule type="expression" dxfId="587" priority="318">
      <x:formula>I21="CRÍTICO"</x:formula>
    </x:cfRule>
  </x:conditionalFormatting>
  <x:conditionalFormatting sqref="H22:H22">
    <x:cfRule type="expression" dxfId="588" priority="319">
      <x:formula>AND(ISNUMBER(H22),H22&gt;=1)</x:formula>
    </x:cfRule>
    <x:cfRule type="expression" dxfId="589" priority="320">
      <x:formula>AND(ISNUMBER(H22),H22&gt;=0.8,H22&lt;1)</x:formula>
    </x:cfRule>
    <x:cfRule type="expression" dxfId="590" priority="321">
      <x:formula>AND(ISNUMBER(H22),H22&lt;0.8)</x:formula>
    </x:cfRule>
  </x:conditionalFormatting>
  <x:conditionalFormatting sqref="I22:I22">
    <x:cfRule type="expression" dxfId="591" priority="322">
      <x:formula>I22="CUMPLIDO"</x:formula>
    </x:cfRule>
    <x:cfRule type="expression" dxfId="592" priority="323">
      <x:formula>I22="EN RIESGO"</x:formula>
    </x:cfRule>
    <x:cfRule type="expression" dxfId="593" priority="324">
      <x:formula>I22="CRÍTICO"</x:formula>
    </x:cfRule>
  </x:conditionalFormatting>
  <x:conditionalFormatting sqref="H24:H24">
    <x:cfRule type="expression" dxfId="594" priority="325">
      <x:formula>AND(ISNUMBER(H24),H24&gt;=1)</x:formula>
    </x:cfRule>
    <x:cfRule type="expression" dxfId="595" priority="326">
      <x:formula>AND(ISNUMBER(H24),H24&gt;=0.8,H24&lt;1)</x:formula>
    </x:cfRule>
    <x:cfRule type="expression" dxfId="596" priority="327">
      <x:formula>AND(ISNUMBER(H24),H24&lt;0.8)</x:formula>
    </x:cfRule>
  </x:conditionalFormatting>
  <x:conditionalFormatting sqref="I24:I24">
    <x:cfRule type="expression" dxfId="597" priority="328">
      <x:formula>I24="CUMPLIDO"</x:formula>
    </x:cfRule>
    <x:cfRule type="expression" dxfId="598" priority="329">
      <x:formula>I24="EN RIESGO"</x:formula>
    </x:cfRule>
    <x:cfRule type="expression" dxfId="599" priority="330">
      <x:formula>I24="CRÍTICO"</x:formula>
    </x:cfRule>
  </x:conditionalFormatting>
  <x:conditionalFormatting sqref="H25:H25">
    <x:cfRule type="expression" dxfId="600" priority="331">
      <x:formula>AND(ISNUMBER(H25),H25&gt;=1)</x:formula>
    </x:cfRule>
    <x:cfRule type="expression" dxfId="601" priority="332">
      <x:formula>AND(ISNUMBER(H25),H25&gt;=0.8,H25&lt;1)</x:formula>
    </x:cfRule>
    <x:cfRule type="expression" dxfId="602" priority="333">
      <x:formula>AND(ISNUMBER(H25),H25&lt;0.8)</x:formula>
    </x:cfRule>
  </x:conditionalFormatting>
  <x:conditionalFormatting sqref="I25:I25">
    <x:cfRule type="expression" dxfId="603" priority="334">
      <x:formula>I25="CUMPLIDO"</x:formula>
    </x:cfRule>
    <x:cfRule type="expression" dxfId="604" priority="335">
      <x:formula>I25="EN RIESGO"</x:formula>
    </x:cfRule>
    <x:cfRule type="expression" dxfId="605" priority="336">
      <x:formula>I25="CRÍTICO"</x:formula>
    </x:cfRule>
  </x:conditionalFormatting>
  <x:conditionalFormatting sqref="H26:H26">
    <x:cfRule type="expression" dxfId="606" priority="337">
      <x:formula>AND(ISNUMBER(H26),H26&gt;=1)</x:formula>
    </x:cfRule>
    <x:cfRule type="expression" dxfId="607" priority="338">
      <x:formula>AND(ISNUMBER(H26),H26&gt;=0.8,H26&lt;1)</x:formula>
    </x:cfRule>
    <x:cfRule type="expression" dxfId="608" priority="339">
      <x:formula>AND(ISNUMBER(H26),H26&lt;0.8)</x:formula>
    </x:cfRule>
  </x:conditionalFormatting>
  <x:conditionalFormatting sqref="I26:I26">
    <x:cfRule type="expression" dxfId="609" priority="340">
      <x:formula>I26="CUMPLIDO"</x:formula>
    </x:cfRule>
    <x:cfRule type="expression" dxfId="610" priority="341">
      <x:formula>I26="EN RIESGO"</x:formula>
    </x:cfRule>
    <x:cfRule type="expression" dxfId="611" priority="342">
      <x:formula>I26="CRÍTICO"</x:formula>
    </x:cfRule>
  </x:conditionalFormatting>
  <x:conditionalFormatting sqref="H27:H27">
    <x:cfRule type="expression" dxfId="612" priority="343">
      <x:formula>AND(ISNUMBER(H27),H27&gt;=1)</x:formula>
    </x:cfRule>
    <x:cfRule type="expression" dxfId="613" priority="344">
      <x:formula>AND(ISNUMBER(H27),H27&gt;=0.8,H27&lt;1)</x:formula>
    </x:cfRule>
    <x:cfRule type="expression" dxfId="614" priority="345">
      <x:formula>AND(ISNUMBER(H27),H27&lt;0.8)</x:formula>
    </x:cfRule>
  </x:conditionalFormatting>
  <x:conditionalFormatting sqref="I27:I27">
    <x:cfRule type="expression" dxfId="615" priority="346">
      <x:formula>I27="CUMPLIDO"</x:formula>
    </x:cfRule>
    <x:cfRule type="expression" dxfId="616" priority="347">
      <x:formula>I27="EN RIESGO"</x:formula>
    </x:cfRule>
    <x:cfRule type="expression" dxfId="617" priority="348">
      <x:formula>I27="CRÍTICO"</x:formula>
    </x:cfRule>
  </x:conditionalFormatting>
  <x:conditionalFormatting sqref="H28:H28">
    <x:cfRule type="expression" dxfId="618" priority="349">
      <x:formula>AND(ISNUMBER(H28),H28&gt;=1)</x:formula>
    </x:cfRule>
    <x:cfRule type="expression" dxfId="619" priority="350">
      <x:formula>AND(ISNUMBER(H28),H28&gt;=0.8,H28&lt;1)</x:formula>
    </x:cfRule>
    <x:cfRule type="expression" dxfId="620" priority="351">
      <x:formula>AND(ISNUMBER(H28),H28&lt;0.8)</x:formula>
    </x:cfRule>
  </x:conditionalFormatting>
  <x:conditionalFormatting sqref="I28:I28">
    <x:cfRule type="expression" dxfId="621" priority="352">
      <x:formula>I28="CUMPLIDO"</x:formula>
    </x:cfRule>
    <x:cfRule type="expression" dxfId="622" priority="353">
      <x:formula>I28="EN RIESGO"</x:formula>
    </x:cfRule>
    <x:cfRule type="expression" dxfId="623" priority="354">
      <x:formula>I28="CRÍTICO"</x:formula>
    </x:cfRule>
  </x:conditionalFormatting>
  <x:conditionalFormatting sqref="H29:H29">
    <x:cfRule type="expression" dxfId="624" priority="355">
      <x:formula>AND(ISNUMBER(H29),H29&gt;=1)</x:formula>
    </x:cfRule>
    <x:cfRule type="expression" dxfId="625" priority="356">
      <x:formula>AND(ISNUMBER(H29),H29&gt;=0.8,H29&lt;1)</x:formula>
    </x:cfRule>
    <x:cfRule type="expression" dxfId="626" priority="357">
      <x:formula>AND(ISNUMBER(H29),H29&lt;0.8)</x:formula>
    </x:cfRule>
  </x:conditionalFormatting>
  <x:conditionalFormatting sqref="I29:I29">
    <x:cfRule type="expression" dxfId="627" priority="358">
      <x:formula>I29="CUMPLIDO"</x:formula>
    </x:cfRule>
    <x:cfRule type="expression" dxfId="628" priority="359">
      <x:formula>I29="EN RIESGO"</x:formula>
    </x:cfRule>
    <x:cfRule type="expression" dxfId="629" priority="360">
      <x:formula>I29="CRÍTICO"</x:formula>
    </x:cfRule>
  </x:conditionalFormatting>
  <x:conditionalFormatting sqref="H30:H30">
    <x:cfRule type="expression" dxfId="630" priority="361">
      <x:formula>AND(ISNUMBER(H30),H30&gt;=1)</x:formula>
    </x:cfRule>
    <x:cfRule type="expression" dxfId="631" priority="362">
      <x:formula>AND(ISNUMBER(H30),H30&gt;=0.8,H30&lt;1)</x:formula>
    </x:cfRule>
    <x:cfRule type="expression" dxfId="632" priority="363">
      <x:formula>AND(ISNUMBER(H30),H30&lt;0.8)</x:formula>
    </x:cfRule>
  </x:conditionalFormatting>
  <x:conditionalFormatting sqref="I30:I30">
    <x:cfRule type="expression" dxfId="633" priority="364">
      <x:formula>I30="CUMPLIDO"</x:formula>
    </x:cfRule>
    <x:cfRule type="expression" dxfId="634" priority="365">
      <x:formula>I30="EN RIESGO"</x:formula>
    </x:cfRule>
    <x:cfRule type="expression" dxfId="635" priority="366">
      <x:formula>I30="CRÍTICO"</x:formula>
    </x:cfRule>
  </x:conditionalFormatting>
  <x:conditionalFormatting sqref="H31:H31">
    <x:cfRule type="expression" dxfId="636" priority="367">
      <x:formula>AND(ISNUMBER(H31),H31&gt;=1)</x:formula>
    </x:cfRule>
    <x:cfRule type="expression" dxfId="637" priority="368">
      <x:formula>AND(ISNUMBER(H31),H31&gt;=0.8,H31&lt;1)</x:formula>
    </x:cfRule>
    <x:cfRule type="expression" dxfId="638" priority="369">
      <x:formula>AND(ISNUMBER(H31),H31&lt;0.8)</x:formula>
    </x:cfRule>
  </x:conditionalFormatting>
  <x:conditionalFormatting sqref="I31:I31">
    <x:cfRule type="expression" dxfId="639" priority="370">
      <x:formula>I31="CUMPLIDO"</x:formula>
    </x:cfRule>
    <x:cfRule type="expression" dxfId="640" priority="371">
      <x:formula>I31="EN RIESGO"</x:formula>
    </x:cfRule>
    <x:cfRule type="expression" dxfId="641" priority="372">
      <x:formula>I31="CRÍTICO"</x:formula>
    </x:cfRule>
  </x:conditionalFormatting>
  <x:conditionalFormatting sqref="H32:H32">
    <x:cfRule type="expression" dxfId="642" priority="373">
      <x:formula>AND(ISNUMBER(H32),H32&gt;=1)</x:formula>
    </x:cfRule>
    <x:cfRule type="expression" dxfId="643" priority="374">
      <x:formula>AND(ISNUMBER(H32),H32&gt;=0.8,H32&lt;1)</x:formula>
    </x:cfRule>
    <x:cfRule type="expression" dxfId="644" priority="375">
      <x:formula>AND(ISNUMBER(H32),H32&lt;0.8)</x:formula>
    </x:cfRule>
  </x:conditionalFormatting>
  <x:conditionalFormatting sqref="I32:I32">
    <x:cfRule type="expression" dxfId="645" priority="376">
      <x:formula>I32="CUMPLIDO"</x:formula>
    </x:cfRule>
    <x:cfRule type="expression" dxfId="646" priority="377">
      <x:formula>I32="EN RIESGO"</x:formula>
    </x:cfRule>
    <x:cfRule type="expression" dxfId="647" priority="378">
      <x:formula>I32="CRÍTICO"</x:formula>
    </x:cfRule>
  </x:conditionalFormatting>
  <x:conditionalFormatting sqref="H34:H34">
    <x:cfRule type="expression" dxfId="648" priority="379">
      <x:formula>AND(ISNUMBER(H34),H34&gt;=1)</x:formula>
    </x:cfRule>
    <x:cfRule type="expression" dxfId="649" priority="380">
      <x:formula>AND(ISNUMBER(H34),H34&gt;=0.8,H34&lt;1)</x:formula>
    </x:cfRule>
    <x:cfRule type="expression" dxfId="650" priority="381">
      <x:formula>AND(ISNUMBER(H34),H34&lt;0.8)</x:formula>
    </x:cfRule>
  </x:conditionalFormatting>
  <x:conditionalFormatting sqref="I34:I34">
    <x:cfRule type="expression" dxfId="651" priority="382">
      <x:formula>I34="CUMPLIDO"</x:formula>
    </x:cfRule>
    <x:cfRule type="expression" dxfId="652" priority="383">
      <x:formula>I34="EN RIESGO"</x:formula>
    </x:cfRule>
    <x:cfRule type="expression" dxfId="653" priority="384">
      <x:formula>I34="CRÍTICO"</x:formula>
    </x:cfRule>
  </x:conditionalFormatting>
  <x:conditionalFormatting sqref="H35:H35">
    <x:cfRule type="expression" dxfId="654" priority="385">
      <x:formula>AND(ISNUMBER(H35),H35&gt;=1)</x:formula>
    </x:cfRule>
    <x:cfRule type="expression" dxfId="655" priority="386">
      <x:formula>AND(ISNUMBER(H35),H35&gt;=0.8,H35&lt;1)</x:formula>
    </x:cfRule>
    <x:cfRule type="expression" dxfId="656" priority="387">
      <x:formula>AND(ISNUMBER(H35),H35&lt;0.8)</x:formula>
    </x:cfRule>
  </x:conditionalFormatting>
  <x:conditionalFormatting sqref="I35:I35">
    <x:cfRule type="expression" dxfId="657" priority="388">
      <x:formula>I35="CUMPLIDO"</x:formula>
    </x:cfRule>
    <x:cfRule type="expression" dxfId="658" priority="389">
      <x:formula>I35="EN RIESGO"</x:formula>
    </x:cfRule>
    <x:cfRule type="expression" dxfId="659" priority="390">
      <x:formula>I35="CRÍTICO"</x:formula>
    </x:cfRule>
  </x:conditionalFormatting>
  <x:conditionalFormatting sqref="H36:H36">
    <x:cfRule type="expression" dxfId="660" priority="391">
      <x:formula>AND(ISNUMBER(H36),H36&gt;=1)</x:formula>
    </x:cfRule>
    <x:cfRule type="expression" dxfId="661" priority="392">
      <x:formula>AND(ISNUMBER(H36),H36&gt;=0.8,H36&lt;1)</x:formula>
    </x:cfRule>
    <x:cfRule type="expression" dxfId="662" priority="393">
      <x:formula>AND(ISNUMBER(H36),H36&lt;0.8)</x:formula>
    </x:cfRule>
  </x:conditionalFormatting>
  <x:conditionalFormatting sqref="I36:I36">
    <x:cfRule type="expression" dxfId="663" priority="394">
      <x:formula>I36="CUMPLIDO"</x:formula>
    </x:cfRule>
    <x:cfRule type="expression" dxfId="664" priority="395">
      <x:formula>I36="EN RIESGO"</x:formula>
    </x:cfRule>
    <x:cfRule type="expression" dxfId="665" priority="396">
      <x:formula>I36="CRÍTICO"</x:formula>
    </x:cfRule>
  </x:conditionalFormatting>
  <x:conditionalFormatting sqref="H37:H37">
    <x:cfRule type="expression" dxfId="666" priority="397">
      <x:formula>AND(ISNUMBER(H37),H37&gt;=1)</x:formula>
    </x:cfRule>
    <x:cfRule type="expression" dxfId="667" priority="398">
      <x:formula>AND(ISNUMBER(H37),H37&gt;=0.8,H37&lt;1)</x:formula>
    </x:cfRule>
    <x:cfRule type="expression" dxfId="668" priority="399">
      <x:formula>AND(ISNUMBER(H37),H37&lt;0.8)</x:formula>
    </x:cfRule>
  </x:conditionalFormatting>
  <x:conditionalFormatting sqref="I37:I37">
    <x:cfRule type="expression" dxfId="669" priority="400">
      <x:formula>I37="CUMPLIDO"</x:formula>
    </x:cfRule>
    <x:cfRule type="expression" dxfId="670" priority="401">
      <x:formula>I37="EN RIESGO"</x:formula>
    </x:cfRule>
    <x:cfRule type="expression" dxfId="671" priority="402">
      <x:formula>I37="CRÍTICO"</x:formula>
    </x:cfRule>
  </x:conditionalFormatting>
  <x:conditionalFormatting sqref="H38:H38">
    <x:cfRule type="expression" dxfId="672" priority="403">
      <x:formula>AND(ISNUMBER(H38),H38&gt;=1)</x:formula>
    </x:cfRule>
    <x:cfRule type="expression" dxfId="673" priority="404">
      <x:formula>AND(ISNUMBER(H38),H38&gt;=0.8,H38&lt;1)</x:formula>
    </x:cfRule>
    <x:cfRule type="expression" dxfId="674" priority="405">
      <x:formula>AND(ISNUMBER(H38),H38&lt;0.8)</x:formula>
    </x:cfRule>
  </x:conditionalFormatting>
  <x:conditionalFormatting sqref="I38:I38">
    <x:cfRule type="expression" dxfId="675" priority="406">
      <x:formula>I38="CUMPLIDO"</x:formula>
    </x:cfRule>
    <x:cfRule type="expression" dxfId="676" priority="407">
      <x:formula>I38="EN RIESGO"</x:formula>
    </x:cfRule>
    <x:cfRule type="expression" dxfId="677" priority="408">
      <x:formula>I38="CRÍTICO"</x:formula>
    </x:cfRule>
  </x:conditionalFormatting>
  <x:conditionalFormatting sqref="H39:H39">
    <x:cfRule type="expression" dxfId="678" priority="409">
      <x:formula>AND(ISNUMBER(H39),H39&gt;=1)</x:formula>
    </x:cfRule>
    <x:cfRule type="expression" dxfId="679" priority="410">
      <x:formula>AND(ISNUMBER(H39),H39&gt;=0.8,H39&lt;1)</x:formula>
    </x:cfRule>
    <x:cfRule type="expression" dxfId="680" priority="411">
      <x:formula>AND(ISNUMBER(H39),H39&lt;0.8)</x:formula>
    </x:cfRule>
  </x:conditionalFormatting>
  <x:conditionalFormatting sqref="I39:I39">
    <x:cfRule type="expression" dxfId="681" priority="412">
      <x:formula>I39="CUMPLIDO"</x:formula>
    </x:cfRule>
    <x:cfRule type="expression" dxfId="682" priority="413">
      <x:formula>I39="EN RIESGO"</x:formula>
    </x:cfRule>
    <x:cfRule type="expression" dxfId="683" priority="414">
      <x:formula>I39="CRÍTICO"</x:formula>
    </x:cfRule>
  </x:conditionalFormatting>
  <x:conditionalFormatting sqref="H40:H40">
    <x:cfRule type="expression" dxfId="684" priority="415">
      <x:formula>AND(ISNUMBER(H40),H40&gt;=1)</x:formula>
    </x:cfRule>
    <x:cfRule type="expression" dxfId="685" priority="416">
      <x:formula>AND(ISNUMBER(H40),H40&gt;=0.8,H40&lt;1)</x:formula>
    </x:cfRule>
    <x:cfRule type="expression" dxfId="686" priority="417">
      <x:formula>AND(ISNUMBER(H40),H40&lt;0.8)</x:formula>
    </x:cfRule>
  </x:conditionalFormatting>
  <x:conditionalFormatting sqref="I40:I40">
    <x:cfRule type="expression" dxfId="687" priority="418">
      <x:formula>I40="CUMPLIDO"</x:formula>
    </x:cfRule>
    <x:cfRule type="expression" dxfId="688" priority="419">
      <x:formula>I40="EN RIESGO"</x:formula>
    </x:cfRule>
    <x:cfRule type="expression" dxfId="689" priority="420">
      <x:formula>I40="CRÍTICO"</x:formula>
    </x:cfRule>
  </x:conditionalFormatting>
  <x:conditionalFormatting sqref="H41:H41">
    <x:cfRule type="expression" dxfId="690" priority="421">
      <x:formula>AND(ISNUMBER(H41),H41&gt;=1)</x:formula>
    </x:cfRule>
    <x:cfRule type="expression" dxfId="691" priority="422">
      <x:formula>AND(ISNUMBER(H41),H41&gt;=0.8,H41&lt;1)</x:formula>
    </x:cfRule>
    <x:cfRule type="expression" dxfId="692" priority="423">
      <x:formula>AND(ISNUMBER(H41),H41&lt;0.8)</x:formula>
    </x:cfRule>
  </x:conditionalFormatting>
  <x:conditionalFormatting sqref="I41:I41">
    <x:cfRule type="expression" dxfId="693" priority="424">
      <x:formula>I41="CUMPLIDO"</x:formula>
    </x:cfRule>
    <x:cfRule type="expression" dxfId="694" priority="425">
      <x:formula>I41="EN RIESGO"</x:formula>
    </x:cfRule>
    <x:cfRule type="expression" dxfId="695" priority="426">
      <x:formula>I41="CRÍTICO"</x:formula>
    </x:cfRule>
  </x:conditionalFormatting>
  <x:conditionalFormatting sqref="H42:H42">
    <x:cfRule type="expression" dxfId="696" priority="427">
      <x:formula>AND(ISNUMBER(H42),H42&gt;=1)</x:formula>
    </x:cfRule>
    <x:cfRule type="expression" dxfId="697" priority="428">
      <x:formula>AND(ISNUMBER(H42),H42&gt;=0.8,H42&lt;1)</x:formula>
    </x:cfRule>
    <x:cfRule type="expression" dxfId="698" priority="429">
      <x:formula>AND(ISNUMBER(H42),H42&lt;0.8)</x:formula>
    </x:cfRule>
  </x:conditionalFormatting>
  <x:conditionalFormatting sqref="I42:I42">
    <x:cfRule type="expression" dxfId="699" priority="430">
      <x:formula>I42="CUMPLIDO"</x:formula>
    </x:cfRule>
    <x:cfRule type="expression" dxfId="700" priority="431">
      <x:formula>I42="EN RIESGO"</x:formula>
    </x:cfRule>
    <x:cfRule type="expression" dxfId="701" priority="432">
      <x:formula>I42="CRÍTICO"</x:formula>
    </x:cfRule>
  </x:conditionalFormatting>
  <x:dataValidations count="108">
    <x:dataValidation type="list" sqref="K4">
      <x:formula1>"Mayor,Menor"</x:formula1>
    </x:dataValidation>
    <x:dataValidation type="decimal" operator="greaterThanOrEqual" sqref="F4">
      <x:formula1>0</x:formula1>
    </x:dataValidation>
    <x:dataValidation type="decimal" operator="greaterThanOrEqual" sqref="G4">
      <x:formula1>0</x:formula1>
    </x:dataValidation>
    <x:dataValidation type="list" sqref="K5">
      <x:formula1>"Mayor,Menor"</x:formula1>
    </x:dataValidation>
    <x:dataValidation type="decimal" operator="greaterThanOrEqual" sqref="F5">
      <x:formula1>0</x:formula1>
    </x:dataValidation>
    <x:dataValidation type="decimal" operator="greaterThanOrEqual" sqref="G5">
      <x:formula1>0</x:formula1>
    </x:dataValidation>
    <x:dataValidation type="list" sqref="K6">
      <x:formula1>"Mayor,Menor"</x:formula1>
    </x:dataValidation>
    <x:dataValidation type="decimal" operator="greaterThanOrEqual" sqref="F6">
      <x:formula1>0</x:formula1>
    </x:dataValidation>
    <x:dataValidation type="decimal" operator="greaterThanOrEqual" sqref="G6">
      <x:formula1>0</x:formula1>
    </x:dataValidation>
    <x:dataValidation type="list" sqref="K7">
      <x:formula1>"Mayor,Menor"</x:formula1>
    </x:dataValidation>
    <x:dataValidation type="decimal" operator="greaterThanOrEqual" sqref="F7">
      <x:formula1>0</x:formula1>
    </x:dataValidation>
    <x:dataValidation type="decimal" operator="greaterThanOrEqual" sqref="G7">
      <x:formula1>0</x:formula1>
    </x:dataValidation>
    <x:dataValidation type="list" sqref="K8">
      <x:formula1>"Mayor,Menor"</x:formula1>
    </x:dataValidation>
    <x:dataValidation type="decimal" operator="greaterThanOrEqual" sqref="F8">
      <x:formula1>0</x:formula1>
    </x:dataValidation>
    <x:dataValidation type="decimal" operator="greaterThanOrEqual" sqref="G8">
      <x:formula1>0</x:formula1>
    </x:dataValidation>
    <x:dataValidation type="list" sqref="K9">
      <x:formula1>"Mayor,Menor"</x:formula1>
    </x:dataValidation>
    <x:dataValidation type="decimal" operator="greaterThanOrEqual" sqref="F9">
      <x:formula1>0</x:formula1>
    </x:dataValidation>
    <x:dataValidation type="decimal" operator="greaterThanOrEqual" sqref="G9">
      <x:formula1>0</x:formula1>
    </x:dataValidation>
    <x:dataValidation type="list" sqref="K10">
      <x:formula1>"Mayor,Menor"</x:formula1>
    </x:dataValidation>
    <x:dataValidation type="decimal" operator="greaterThanOrEqual" sqref="F10">
      <x:formula1>0</x:formula1>
    </x:dataValidation>
    <x:dataValidation type="decimal" operator="greaterThanOrEqual" sqref="G10">
      <x:formula1>0</x:formula1>
    </x:dataValidation>
    <x:dataValidation type="list" sqref="K11">
      <x:formula1>"Mayor,Menor"</x:formula1>
    </x:dataValidation>
    <x:dataValidation type="decimal" operator="greaterThanOrEqual" sqref="F11">
      <x:formula1>0</x:formula1>
    </x:dataValidation>
    <x:dataValidation type="decimal" operator="greaterThanOrEqual" sqref="G11">
      <x:formula1>0</x:formula1>
    </x:dataValidation>
    <x:dataValidation type="list" sqref="K12">
      <x:formula1>"Mayor,Menor"</x:formula1>
    </x:dataValidation>
    <x:dataValidation type="decimal" operator="greaterThanOrEqual" sqref="F12">
      <x:formula1>0</x:formula1>
    </x:dataValidation>
    <x:dataValidation type="decimal" operator="greaterThanOrEqual" sqref="G12">
      <x:formula1>0</x:formula1>
    </x:dataValidation>
    <x:dataValidation type="list" sqref="K14">
      <x:formula1>"Mayor,Menor"</x:formula1>
    </x:dataValidation>
    <x:dataValidation type="decimal" operator="greaterThanOrEqual" sqref="F14">
      <x:formula1>0</x:formula1>
    </x:dataValidation>
    <x:dataValidation type="decimal" operator="greaterThanOrEqual" sqref="G14">
      <x:formula1>-100</x:formula1>
    </x:dataValidation>
    <x:dataValidation type="list" sqref="K15">
      <x:formula1>"Mayor,Menor"</x:formula1>
    </x:dataValidation>
    <x:dataValidation type="decimal" operator="greaterThanOrEqual" sqref="F15">
      <x:formula1>0</x:formula1>
    </x:dataValidation>
    <x:dataValidation type="decimal" operator="greaterThanOrEqual" sqref="G15">
      <x:formula1>0</x:formula1>
    </x:dataValidation>
    <x:dataValidation type="list" sqref="K16">
      <x:formula1>"Mayor,Menor"</x:formula1>
    </x:dataValidation>
    <x:dataValidation type="decimal" operator="greaterThanOrEqual" sqref="F16">
      <x:formula1>0</x:formula1>
    </x:dataValidation>
    <x:dataValidation type="decimal" operator="greaterThanOrEqual" sqref="G16">
      <x:formula1>0</x:formula1>
    </x:dataValidation>
    <x:dataValidation type="list" sqref="K17">
      <x:formula1>"Mayor,Menor"</x:formula1>
    </x:dataValidation>
    <x:dataValidation type="decimal" operator="greaterThanOrEqual" sqref="F17">
      <x:formula1>0</x:formula1>
    </x:dataValidation>
    <x:dataValidation type="decimal" operator="greaterThanOrEqual" sqref="G17">
      <x:formula1>0</x:formula1>
    </x:dataValidation>
    <x:dataValidation type="list" sqref="K18">
      <x:formula1>"Mayor,Menor"</x:formula1>
    </x:dataValidation>
    <x:dataValidation type="decimal" operator="greaterThanOrEqual" sqref="F18">
      <x:formula1>0</x:formula1>
    </x:dataValidation>
    <x:dataValidation type="decimal" operator="greaterThanOrEqual" sqref="G18">
      <x:formula1>0</x:formula1>
    </x:dataValidation>
    <x:dataValidation type="list" sqref="K19">
      <x:formula1>"Mayor,Menor"</x:formula1>
    </x:dataValidation>
    <x:dataValidation type="decimal" operator="greaterThanOrEqual" sqref="F19">
      <x:formula1>0</x:formula1>
    </x:dataValidation>
    <x:dataValidation type="decimal" operator="greaterThanOrEqual" sqref="G19">
      <x:formula1>0</x:formula1>
    </x:dataValidation>
    <x:dataValidation type="list" sqref="K20">
      <x:formula1>"Mayor,Menor"</x:formula1>
    </x:dataValidation>
    <x:dataValidation type="decimal" operator="greaterThanOrEqual" sqref="F20">
      <x:formula1>0</x:formula1>
    </x:dataValidation>
    <x:dataValidation type="decimal" operator="greaterThanOrEqual" sqref="G20">
      <x:formula1>0</x:formula1>
    </x:dataValidation>
    <x:dataValidation type="list" sqref="K21">
      <x:formula1>"Mayor,Menor"</x:formula1>
    </x:dataValidation>
    <x:dataValidation type="decimal" operator="greaterThanOrEqual" sqref="F21">
      <x:formula1>0</x:formula1>
    </x:dataValidation>
    <x:dataValidation type="decimal" operator="greaterThanOrEqual" sqref="G21">
      <x:formula1>0</x:formula1>
    </x:dataValidation>
    <x:dataValidation type="list" sqref="K22">
      <x:formula1>"Mayor,Menor"</x:formula1>
    </x:dataValidation>
    <x:dataValidation type="decimal" operator="greaterThanOrEqual" sqref="F22">
      <x:formula1>0</x:formula1>
    </x:dataValidation>
    <x:dataValidation type="decimal" operator="greaterThanOrEqual" sqref="G22">
      <x:formula1>0</x:formula1>
    </x:dataValidation>
    <x:dataValidation type="list" sqref="K24">
      <x:formula1>"Mayor,Menor"</x:formula1>
    </x:dataValidation>
    <x:dataValidation type="decimal" operator="greaterThanOrEqual" sqref="F24">
      <x:formula1>0</x:formula1>
    </x:dataValidation>
    <x:dataValidation type="decimal" operator="greaterThanOrEqual" sqref="G24">
      <x:formula1>0</x:formula1>
    </x:dataValidation>
    <x:dataValidation type="list" sqref="K25">
      <x:formula1>"Mayor,Menor"</x:formula1>
    </x:dataValidation>
    <x:dataValidation type="decimal" operator="greaterThanOrEqual" sqref="F25">
      <x:formula1>0</x:formula1>
    </x:dataValidation>
    <x:dataValidation type="decimal" operator="greaterThanOrEqual" sqref="G25">
      <x:formula1>0</x:formula1>
    </x:dataValidation>
    <x:dataValidation type="list" sqref="K26">
      <x:formula1>"Mayor,Menor"</x:formula1>
    </x:dataValidation>
    <x:dataValidation type="decimal" operator="greaterThanOrEqual" sqref="F26">
      <x:formula1>0</x:formula1>
    </x:dataValidation>
    <x:dataValidation type="decimal" operator="greaterThanOrEqual" sqref="G26">
      <x:formula1>0</x:formula1>
    </x:dataValidation>
    <x:dataValidation type="list" sqref="K27">
      <x:formula1>"Mayor,Menor"</x:formula1>
    </x:dataValidation>
    <x:dataValidation type="decimal" operator="greaterThanOrEqual" sqref="F27">
      <x:formula1>0</x:formula1>
    </x:dataValidation>
    <x:dataValidation type="decimal" operator="greaterThanOrEqual" sqref="G27">
      <x:formula1>0</x:formula1>
    </x:dataValidation>
    <x:dataValidation type="list" sqref="K28">
      <x:formula1>"Mayor,Menor"</x:formula1>
    </x:dataValidation>
    <x:dataValidation type="decimal" operator="greaterThanOrEqual" sqref="F28">
      <x:formula1>0</x:formula1>
    </x:dataValidation>
    <x:dataValidation type="decimal" operator="greaterThanOrEqual" sqref="G28">
      <x:formula1>0</x:formula1>
    </x:dataValidation>
    <x:dataValidation type="list" sqref="K29">
      <x:formula1>"Mayor,Menor"</x:formula1>
    </x:dataValidation>
    <x:dataValidation type="decimal" operator="greaterThanOrEqual" sqref="F29">
      <x:formula1>0</x:formula1>
    </x:dataValidation>
    <x:dataValidation type="decimal" operator="greaterThanOrEqual" sqref="G29">
      <x:formula1>0</x:formula1>
    </x:dataValidation>
    <x:dataValidation type="list" sqref="K30">
      <x:formula1>"Mayor,Menor"</x:formula1>
    </x:dataValidation>
    <x:dataValidation type="decimal" operator="greaterThanOrEqual" sqref="F30">
      <x:formula1>0</x:formula1>
    </x:dataValidation>
    <x:dataValidation type="decimal" operator="greaterThanOrEqual" sqref="G30">
      <x:formula1>0</x:formula1>
    </x:dataValidation>
    <x:dataValidation type="list" sqref="K31">
      <x:formula1>"Mayor,Menor"</x:formula1>
    </x:dataValidation>
    <x:dataValidation type="decimal" operator="greaterThanOrEqual" sqref="F31">
      <x:formula1>0</x:formula1>
    </x:dataValidation>
    <x:dataValidation type="decimal" operator="greaterThanOrEqual" sqref="G31">
      <x:formula1>0</x:formula1>
    </x:dataValidation>
    <x:dataValidation type="list" sqref="K32">
      <x:formula1>"Mayor,Menor"</x:formula1>
    </x:dataValidation>
    <x:dataValidation type="decimal" operator="greaterThanOrEqual" sqref="F32">
      <x:formula1>0</x:formula1>
    </x:dataValidation>
    <x:dataValidation type="decimal" operator="greaterThanOrEqual" sqref="G32">
      <x:formula1>0</x:formula1>
    </x:dataValidation>
    <x:dataValidation type="list" sqref="K34">
      <x:formula1>"Mayor,Menor"</x:formula1>
    </x:dataValidation>
    <x:dataValidation type="decimal" operator="greaterThanOrEqual" sqref="F34">
      <x:formula1>0</x:formula1>
    </x:dataValidation>
    <x:dataValidation type="decimal" operator="greaterThanOrEqual" sqref="G34">
      <x:formula1>0</x:formula1>
    </x:dataValidation>
    <x:dataValidation type="list" sqref="K35">
      <x:formula1>"Mayor,Menor"</x:formula1>
    </x:dataValidation>
    <x:dataValidation type="decimal" operator="greaterThanOrEqual" sqref="F35">
      <x:formula1>0</x:formula1>
    </x:dataValidation>
    <x:dataValidation type="decimal" operator="greaterThanOrEqual" sqref="G35">
      <x:formula1>0</x:formula1>
    </x:dataValidation>
    <x:dataValidation type="list" sqref="K36">
      <x:formula1>"Mayor,Menor"</x:formula1>
    </x:dataValidation>
    <x:dataValidation type="decimal" operator="greaterThanOrEqual" sqref="F36">
      <x:formula1>0</x:formula1>
    </x:dataValidation>
    <x:dataValidation type="decimal" operator="greaterThanOrEqual" sqref="G36">
      <x:formula1>0</x:formula1>
    </x:dataValidation>
    <x:dataValidation type="list" sqref="K37">
      <x:formula1>"Mayor,Menor"</x:formula1>
    </x:dataValidation>
    <x:dataValidation type="decimal" operator="greaterThanOrEqual" sqref="F37">
      <x:formula1>0</x:formula1>
    </x:dataValidation>
    <x:dataValidation type="decimal" operator="greaterThanOrEqual" sqref="G37">
      <x:formula1>0</x:formula1>
    </x:dataValidation>
    <x:dataValidation type="list" sqref="K38">
      <x:formula1>"Mayor,Menor"</x:formula1>
    </x:dataValidation>
    <x:dataValidation type="decimal" operator="greaterThanOrEqual" sqref="F38">
      <x:formula1>0</x:formula1>
    </x:dataValidation>
    <x:dataValidation type="decimal" operator="greaterThanOrEqual" sqref="G38">
      <x:formula1>0</x:formula1>
    </x:dataValidation>
    <x:dataValidation type="list" sqref="K39">
      <x:formula1>"Mayor,Menor"</x:formula1>
    </x:dataValidation>
    <x:dataValidation type="decimal" operator="greaterThanOrEqual" sqref="F39">
      <x:formula1>0</x:formula1>
    </x:dataValidation>
    <x:dataValidation type="decimal" operator="greaterThanOrEqual" sqref="G39">
      <x:formula1>0</x:formula1>
    </x:dataValidation>
    <x:dataValidation type="list" sqref="K40">
      <x:formula1>"Mayor,Menor"</x:formula1>
    </x:dataValidation>
    <x:dataValidation type="decimal" operator="greaterThanOrEqual" sqref="F40">
      <x:formula1>0</x:formula1>
    </x:dataValidation>
    <x:dataValidation type="decimal" operator="greaterThanOrEqual" sqref="G40">
      <x:formula1>0</x:formula1>
    </x:dataValidation>
    <x:dataValidation type="list" sqref="K41">
      <x:formula1>"Mayor,Menor"</x:formula1>
    </x:dataValidation>
    <x:dataValidation type="decimal" operator="greaterThanOrEqual" sqref="F41">
      <x:formula1>0</x:formula1>
    </x:dataValidation>
    <x:dataValidation type="decimal" operator="greaterThanOrEqual" sqref="G41">
      <x:formula1>0</x:formula1>
    </x:dataValidation>
    <x:dataValidation type="list" sqref="K42">
      <x:formula1>"Mayor,Menor"</x:formula1>
    </x:dataValidation>
    <x:dataValidation type="decimal" operator="greaterThanOrEqual" sqref="F42">
      <x:formula1>0</x:formula1>
    </x:dataValidation>
    <x:dataValidation type="decimal" operator="greaterThanOrEqual" sqref="G42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E6F91"/>
  </x:sheetPr>
  <x:sheetViews>
    <x:sheetView showGridLines="0" workbookViewId="0">
      <x:pane ySplit="2" topLeftCell="A3" activePane="bottomLeft" state="frozen"/>
    </x:sheetView>
  </x:sheetViews>
  <x:sheetFormatPr baseColWidth="10" defaultColWidth="8.6640625" defaultRowHeight="15"/>
  <x:cols>
    <x:col min="1" max="1" width="3" hidden="0" customWidth="1"/>
    <x:col min="2" max="2" width="34" hidden="0" customWidth="1"/>
    <x:col min="3" max="3" width="45" hidden="0" customWidth="1"/>
    <x:col min="4" max="4" width="10" hidden="0" customWidth="1"/>
    <x:col min="5" max="6" width="13" customWidth="1"/>
    <x:col min="7" max="7" width="14" hidden="0" customWidth="1"/>
    <x:col min="8" max="8" width="17" hidden="0" customWidth="1"/>
    <x:col min="9" max="9" width="60" hidden="0" customWidth="1"/>
    <x:col min="5" max="5" width="13" hidden="0" customWidth="1"/>
    <x:col min="6" max="6" width="13" hidden="0" customWidth="1"/>
  </x:cols>
  <x:sheetData>
    <x:row r="1" ht="44" customHeight="1">
      <x:c r="B1" s="408" t="str">
        <x:v>TechPeru / Financiera / 2025</x:v>
      </x:c>
      <x:c r="C1" s="408"/>
      <x:c r="D1" s="408"/>
      <x:c r="E1" s="408"/>
      <x:c r="F1" s="408"/>
      <x:c r="G1" s="408"/>
      <x:c r="H1" s="408"/>
      <x:c r="I1" s="408"/>
    </x:row>
    <x:row r="2" ht="32" customHeight="1">
      <x:c r="B2" s="416" t="s">
        <x:v>1</x:v>
      </x:c>
      <x:c r="C2" s="416" t="s">
        <x:v>2</x:v>
      </x:c>
      <x:c r="D2" s="416" t="s">
        <x:v>3</x:v>
      </x:c>
      <x:c r="E2" s="416" t="s">
        <x:v>64</x:v>
      </x:c>
      <x:c r="F2" s="416" t="s">
        <x:v>65</x:v>
      </x:c>
      <x:c r="G2" s="416" t="s">
        <x:v>6</x:v>
      </x:c>
      <x:c r="H2" s="416" t="s">
        <x:v>7</x:v>
      </x:c>
      <x:c r="I2" s="416" t="s">
        <x:v>66</x:v>
      </x:c>
    </x:row>
    <x:row r="3" ht="42" customHeight="1">
      <x:c r="B3" s="469" t="str">
        <x:v>Incrementar la Rentabilidad</x:v>
      </x:c>
      <x:c r="C3" s="402" t="s">
        <x:v>9</x:v>
      </x:c>
      <x:c r="D3" s="401" t="s">
        <x:v>10</x:v>
      </x:c>
      <x:c r="E3" s="403" t="n">
        <x:f>'📊 BSC Completo'!F4</x:f>
        <x:v>18</x:v>
      </x:c>
      <x:c r="F3" s="403" t="n">
        <x:f>IF(ISNUMBER('📊 BSC Completo'!G4),'📊 BSC Completo'!G4,"")</x:f>
        <x:v>16.5</x:v>
      </x:c>
      <x:c r="G3" s="404" t="n">
        <x:f>IF(ISNUMBER('📊 BSC Completo'!H4),'📊 BSC Completo'!H4,"")</x:f>
        <x:v>0.9166666666666666</x:v>
      </x:c>
      <x:c r="H3" s="401" t="str">
        <x:f>'📊 BSC Completo'!I4</x:f>
        <x:v>EN RIESGO</x:v>
      </x:c>
      <x:c r="I3" s="465" t="str">
        <x:f>IF(H3="SIN DATOS","Registrar el resultado en BSC Completo.",IF(H3="CUMPLIDO","Meta alcanzada. Mantener el seguimiento.",IF(H3="REVISAR META","Revisar la meta y los datos de entrada.","Revisar estructura de capital y uso del patrimonio.")))</x:f>
        <x:v>Revisar estructura de capital y uso del patrimonio.</x:v>
      </x:c>
    </x:row>
    <x:row r="4" ht="42" customHeight="1">
      <x:c r="B4" s="469"/>
      <x:c r="C4" s="424" t="s">
        <x:v>11</x:v>
      </x:c>
      <x:c r="D4" s="425" t="s">
        <x:v>10</x:v>
      </x:c>
      <x:c r="E4" s="426" t="n">
        <x:f>'📊 BSC Completo'!F5</x:f>
        <x:v>22</x:v>
      </x:c>
      <x:c r="F4" s="426" t="n">
        <x:f>IF(ISNUMBER('📊 BSC Completo'!G5),'📊 BSC Completo'!G5,"")</x:f>
        <x:v>19.8</x:v>
      </x:c>
      <x:c r="G4" s="427" t="n">
        <x:f>IF(ISNUMBER('📊 BSC Completo'!H5),'📊 BSC Completo'!H5,"")</x:f>
        <x:v>0.9</x:v>
      </x:c>
      <x:c r="H4" s="425" t="str">
        <x:f>'📊 BSC Completo'!I5</x:f>
        <x:v>EN RIESGO</x:v>
      </x:c>
      <x:c r="I4" s="468" t="str">
        <x:f>IF(H4="SIN DATOS","Registrar el resultado en BSC Completo.",IF(H4="CUMPLIDO","Meta alcanzada. Mantener el seguimiento.",IF(H4="REVISAR META","Revisar la meta y los datos de entrada.","Reducir gastos operativos que comprimen el margen.")))</x:f>
        <x:v>Reducir gastos operativos que comprimen el margen.</x:v>
      </x:c>
    </x:row>
    <x:row r="5" ht="42" customHeight="1">
      <x:c r="B5" s="469"/>
      <x:c r="C5" s="402" t="s">
        <x:v>12</x:v>
      </x:c>
      <x:c r="D5" s="401" t="s">
        <x:v>13</x:v>
      </x:c>
      <x:c r="E5" s="403" t="n">
        <x:f>'📊 BSC Completo'!F6</x:f>
        <x:v>2.1</x:v>
      </x:c>
      <x:c r="F5" s="403" t="n">
        <x:f>IF(ISNUMBER('📊 BSC Completo'!G6),'📊 BSC Completo'!G6,"")</x:f>
        <x:v>1.87</x:v>
      </x:c>
      <x:c r="G5" s="404" t="n">
        <x:f>IF(ISNUMBER('📊 BSC Completo'!H6),'📊 BSC Completo'!H6,"")</x:f>
        <x:v>0.8904761904761905</x:v>
      </x:c>
      <x:c r="H5" s="401" t="str">
        <x:f>'📊 BSC Completo'!I6</x:f>
        <x:v>EN RIESGO</x:v>
      </x:c>
      <x:c r="I5" s="465" t="str">
        <x:f>IF(H5="SIN DATOS","Registrar el resultado en BSC Completo.",IF(H5="CUMPLIDO","Meta alcanzada. Mantener el seguimiento.",IF(H5="REVISAR META","Revisar la meta y los datos de entrada.","Mejorar márgenes y volumen de ventas.")))</x:f>
        <x:v>Mejorar márgenes y volumen de ventas.</x:v>
      </x:c>
    </x:row>
    <x:row r="6" ht="4.5" customHeight="1">
      <x:c r="B6" s="400"/>
      <x:c r="C6" s="400"/>
      <x:c r="D6" s="400"/>
      <x:c r="E6" s="400"/>
      <x:c r="F6" s="400"/>
      <x:c r="G6" s="400"/>
      <x:c r="H6" s="400"/>
      <x:c r="I6" s="405"/>
    </x:row>
    <x:row r="7" ht="42" customHeight="1">
      <x:c r="B7" s="469" t="str">
        <x:v>Acelerar el Crecimiento de Ingresos</x:v>
      </x:c>
      <x:c r="C7" s="424" t="s">
        <x:v>15</x:v>
      </x:c>
      <x:c r="D7" s="425" t="s">
        <x:v>10</x:v>
      </x:c>
      <x:c r="E7" s="426" t="n">
        <x:f>'📊 BSC Completo'!F7</x:f>
        <x:v>15</x:v>
      </x:c>
      <x:c r="F7" s="426" t="n">
        <x:f>IF(ISNUMBER('📊 BSC Completo'!G7),'📊 BSC Completo'!G7,"")</x:f>
        <x:v>12.3</x:v>
      </x:c>
      <x:c r="G7" s="427" t="n">
        <x:f>IF(ISNUMBER('📊 BSC Completo'!H7),'📊 BSC Completo'!H7,"")</x:f>
        <x:v>0.8200000000000001</x:v>
      </x:c>
      <x:c r="H7" s="425" t="str">
        <x:f>'📊 BSC Completo'!I7</x:f>
        <x:v>EN RIESGO</x:v>
      </x:c>
      <x:c r="I7" s="468" t="str">
        <x:f>IF(H7="SIN DATOS","Registrar el resultado en BSC Completo.",IF(H7="CUMPLIDO","Meta alcanzada. Mantener el seguimiento.",IF(H7="REVISAR META","Revisar la meta y los datos de entrada.","Fortalecer las campañas comerciales y la venta adicional.")))</x:f>
        <x:v>Fortalecer las campañas comerciales y la venta adicional.</x:v>
      </x:c>
    </x:row>
    <x:row r="8" ht="42" customHeight="1">
      <x:c r="B8" s="469"/>
      <x:c r="C8" s="402" t="s">
        <x:v>16</x:v>
      </x:c>
      <x:c r="D8" s="401" t="s">
        <x:v>13</x:v>
      </x:c>
      <x:c r="E8" s="403" t="n">
        <x:f>'📊 BSC Completo'!F8</x:f>
        <x:v>8.5</x:v>
      </x:c>
      <x:c r="F8" s="403" t="n">
        <x:f>IF(ISNUMBER('📊 BSC Completo'!G8),'📊 BSC Completo'!G8,"")</x:f>
        <x:v>7.9</x:v>
      </x:c>
      <x:c r="G8" s="404" t="n">
        <x:f>IF(ISNUMBER('📊 BSC Completo'!H8),'📊 BSC Completo'!H8,"")</x:f>
        <x:v>0.9294117647058824</x:v>
      </x:c>
      <x:c r="H8" s="401" t="str">
        <x:f>'📊 BSC Completo'!I8</x:f>
        <x:v>EN RIESGO</x:v>
      </x:c>
      <x:c r="I8" s="465" t="str">
        <x:f>IF(H8="SIN DATOS","Registrar el resultado en BSC Completo.",IF(H8="CUMPLIDO","Meta alcanzada. Mantener el seguimiento.",IF(H8="REVISAR META","Revisar la meta y los datos de entrada.","Revisar precios y combinación de productos.")))</x:f>
        <x:v>Revisar precios y combinación de productos.</x:v>
      </x:c>
    </x:row>
    <x:row r="9" ht="42" customHeight="1">
      <x:c r="B9" s="469"/>
      <x:c r="C9" s="424" t="s">
        <x:v>17</x:v>
      </x:c>
      <x:c r="D9" s="425" t="s">
        <x:v>10</x:v>
      </x:c>
      <x:c r="E9" s="426" t="n">
        <x:f>'📊 BSC Completo'!F9</x:f>
        <x:v>20</x:v>
      </x:c>
      <x:c r="F9" s="426" t="n">
        <x:f>IF(ISNUMBER('📊 BSC Completo'!G9),'📊 BSC Completo'!G9,"")</x:f>
        <x:v>15.6</x:v>
      </x:c>
      <x:c r="G9" s="427" t="n">
        <x:f>IF(ISNUMBER('📊 BSC Completo'!H9),'📊 BSC Completo'!H9,"")</x:f>
        <x:v>0.78</x:v>
      </x:c>
      <x:c r="H9" s="425" t="str">
        <x:f>'📊 BSC Completo'!I9</x:f>
        <x:v>CRÍTICO</x:v>
      </x:c>
      <x:c r="I9" s="468" t="str">
        <x:f>IF(H9="SIN DATOS","Registrar el resultado en BSC Completo.",IF(H9="CUMPLIDO","Meta alcanzada. Mantener el seguimiento.",IF(H9="REVISAR META","Revisar la meta y los datos de entrada.","Acelerar lanzamientos y venta de nuevos productos.")))</x:f>
        <x:v>Acelerar lanzamientos y venta de nuevos productos.</x:v>
      </x:c>
    </x:row>
    <x:row r="10" ht="4.5" customHeight="1">
      <x:c r="B10" s="400"/>
      <x:c r="C10" s="400"/>
      <x:c r="D10" s="400"/>
      <x:c r="E10" s="400"/>
      <x:c r="F10" s="400"/>
      <x:c r="G10" s="400"/>
      <x:c r="H10" s="400"/>
      <x:c r="I10" s="405"/>
    </x:row>
    <x:row r="11" ht="42" customHeight="1">
      <x:c r="B11" s="469" t="str">
        <x:v>Optimizar la Estructura de Costos</x:v>
      </x:c>
      <x:c r="C11" s="402" t="s">
        <x:v>19</x:v>
      </x:c>
      <x:c r="D11" s="401" t="s">
        <x:v>10</x:v>
      </x:c>
      <x:c r="E11" s="403" t="n">
        <x:f>'📊 BSC Completo'!F10</x:f>
        <x:v>55</x:v>
      </x:c>
      <x:c r="F11" s="403" t="n">
        <x:f>IF(ISNUMBER('📊 BSC Completo'!G10),'📊 BSC Completo'!G10,"")</x:f>
        <x:v>58.2</x:v>
      </x:c>
      <x:c r="G11" s="404" t="n">
        <x:f>IF(ISNUMBER('📊 BSC Completo'!H10),'📊 BSC Completo'!H10,"")</x:f>
        <x:v>0.9450171821305842</x:v>
      </x:c>
      <x:c r="H11" s="401" t="str">
        <x:f>'📊 BSC Completo'!I10</x:f>
        <x:v>EN RIESGO</x:v>
      </x:c>
      <x:c r="I11" s="465" t="str">
        <x:f>IF(H11="SIN DATOS","Registrar el resultado en BSC Completo.",IF(H11="CUMPLIDO","Meta alcanzada. Mantener el seguimiento.",IF(H11="REVISAR META","Revisar la meta y los datos de entrada.","Automatizar tareas para reducir costos operativos.")))</x:f>
        <x:v>Automatizar tareas para reducir costos operativos.</x:v>
      </x:c>
    </x:row>
    <x:row r="12" ht="42" customHeight="1">
      <x:c r="B12" s="469"/>
      <x:c r="C12" s="424" t="s">
        <x:v>20</x:v>
      </x:c>
      <x:c r="D12" s="425" t="s">
        <x:v>21</x:v>
      </x:c>
      <x:c r="E12" s="426" t="n">
        <x:f>'📊 BSC Completo'!F11</x:f>
        <x:v>350</x:v>
      </x:c>
      <x:c r="F12" s="426" t="n">
        <x:f>IF(ISNUMBER('📊 BSC Completo'!G11),'📊 BSC Completo'!G11,"")</x:f>
        <x:v>412</x:v>
      </x:c>
      <x:c r="G12" s="427" t="n">
        <x:f>IF(ISNUMBER('📊 BSC Completo'!H11),'📊 BSC Completo'!H11,"")</x:f>
        <x:v>0.8495145631067961</x:v>
      </x:c>
      <x:c r="H12" s="425" t="str">
        <x:f>'📊 BSC Completo'!I11</x:f>
        <x:v>EN RIESGO</x:v>
      </x:c>
      <x:c r="I12" s="468" t="str">
        <x:f>IF(H12="SIN DATOS","Registrar el resultado en BSC Completo.",IF(H12="CUMPLIDO","Meta alcanzada. Mantener el seguimiento.",IF(H12="REVISAR META","Revisar la meta y los datos de entrada.","Optimizar los canales de adquisición digital.")))</x:f>
        <x:v>Optimizar los canales de adquisición digital.</x:v>
      </x:c>
    </x:row>
    <x:row r="13" ht="42" customHeight="1">
      <x:c r="B13" s="469"/>
      <x:c r="C13" s="402" t="s">
        <x:v>22</x:v>
      </x:c>
      <x:c r="D13" s="401" t="s">
        <x:v>10</x:v>
      </x:c>
      <x:c r="E13" s="403" t="n">
        <x:f>'📊 BSC Completo'!F12</x:f>
        <x:v>9</x:v>
      </x:c>
      <x:c r="F13" s="403" t="n">
        <x:f>IF(ISNUMBER('📊 BSC Completo'!G12),'📊 BSC Completo'!G12,"")</x:f>
        <x:v>7.8</x:v>
      </x:c>
      <x:c r="G13" s="404" t="n">
        <x:f>IF(ISNUMBER('📊 BSC Completo'!H12),'📊 BSC Completo'!H12,"")</x:f>
        <x:v>0.8666666666666667</x:v>
      </x:c>
      <x:c r="H13" s="401" t="str">
        <x:f>'📊 BSC Completo'!I12</x:f>
        <x:v>EN RIESGO</x:v>
      </x:c>
      <x:c r="I13" s="465" t="str">
        <x:f>IF(H13="SIN DATOS","Registrar el resultado en BSC Completo.",IF(H13="CUMPLIDO","Meta alcanzada. Mantener el seguimiento.",IF(H13="REVISAR META","Revisar la meta y los datos de entrada.","Mejorar el uso productivo de los activos.")))</x:f>
        <x:v>Mejorar el uso productivo de los activos.</x:v>
      </x:c>
    </x:row>
    <x:row r="14" ht="4.5" customHeight="1">
      <x:c r="B14" s="400"/>
      <x:c r="C14" s="400"/>
      <x:c r="D14" s="400"/>
      <x:c r="E14" s="400"/>
      <x:c r="F14" s="400"/>
      <x:c r="G14" s="400"/>
      <x:c r="H14" s="400"/>
      <x:c r="I14" s="400"/>
    </x:row>
    <x:row r="15">
      <x:c r="B15" s="400"/>
      <x:c r="C15" s="400"/>
      <x:c r="D15" s="400"/>
      <x:c r="E15" s="400"/>
      <x:c r="F15" s="400"/>
      <x:c r="G15" s="400"/>
      <x:c r="H15" s="400"/>
      <x:c r="I15" s="400"/>
    </x:row>
    <x:row r="16" ht="24" customHeight="1">
      <x:c r="B16" s="470" t="str">
        <x:v>Vista vinculada: Meta y Real se editan en BSC Completo. Unidades y sentido se conservan por indicador.</x:v>
      </x:c>
      <x:c r="C16" s="470"/>
      <x:c r="D16" s="470"/>
      <x:c r="E16" s="470"/>
      <x:c r="F16" s="470"/>
      <x:c r="G16" s="470"/>
      <x:c r="H16" s="470"/>
      <x:c r="I16" s="470"/>
    </x:row>
    <x:row r="17">
      <x:c r="B17" s="400"/>
      <x:c r="C17" s="400"/>
      <x:c r="D17" s="400"/>
      <x:c r="E17" s="400"/>
      <x:c r="F17" s="400"/>
      <x:c r="G17" s="400"/>
      <x:c r="H17" s="400"/>
      <x:c r="I17" s="400"/>
    </x:row>
    <x:row r="18" ht="30" customHeight="1">
      <x:c r="B18" s="471" t="str">
        <x:v>Edite Meta y Real solo en BSC Completo. Esta hoja se actualiza automáticamente.</x:v>
      </x:c>
      <x:c r="C18" s="471"/>
      <x:c r="D18" s="471"/>
      <x:c r="E18" s="471"/>
      <x:c r="F18" s="471"/>
      <x:c r="G18" s="471"/>
      <x:c r="H18" s="471"/>
      <x:c r="I18" s="471"/>
    </x:row>
  </x:sheetData>
  <x:mergeCells>
    <x:mergeCell ref="B1:I1"/>
    <x:mergeCell ref="B3:B5"/>
    <x:mergeCell ref="B7:B9"/>
    <x:mergeCell ref="B11:B13"/>
    <x:mergeCell ref="B16:I16"/>
    <x:mergeCell ref="B18:I18"/>
  </x:mergeCells>
  <x:conditionalFormatting sqref="G3:G3">
    <x:cfRule type="expression" dxfId="702" priority="55">
      <x:formula>AND(ISNUMBER(G3),G3&gt;=1)</x:formula>
    </x:cfRule>
    <x:cfRule type="expression" dxfId="703" priority="56">
      <x:formula>AND(ISNUMBER(G3),G3&gt;=0.8,G3&lt;1)</x:formula>
    </x:cfRule>
    <x:cfRule type="expression" dxfId="704" priority="57">
      <x:formula>AND(ISNUMBER(G3),G3&lt;0.8)</x:formula>
    </x:cfRule>
  </x:conditionalFormatting>
  <x:conditionalFormatting sqref="H3:H3">
    <x:cfRule type="expression" dxfId="705" priority="58">
      <x:formula>H3="CUMPLIDO"</x:formula>
    </x:cfRule>
    <x:cfRule type="expression" dxfId="706" priority="59">
      <x:formula>H3="EN RIESGO"</x:formula>
    </x:cfRule>
    <x:cfRule type="expression" dxfId="707" priority="60">
      <x:formula>H3="CRÍTICO"</x:formula>
    </x:cfRule>
  </x:conditionalFormatting>
  <x:conditionalFormatting sqref="G4:G4">
    <x:cfRule type="expression" dxfId="708" priority="61">
      <x:formula>AND(ISNUMBER(G4),G4&gt;=1)</x:formula>
    </x:cfRule>
    <x:cfRule type="expression" dxfId="709" priority="62">
      <x:formula>AND(ISNUMBER(G4),G4&gt;=0.8,G4&lt;1)</x:formula>
    </x:cfRule>
    <x:cfRule type="expression" dxfId="710" priority="63">
      <x:formula>AND(ISNUMBER(G4),G4&lt;0.8)</x:formula>
    </x:cfRule>
  </x:conditionalFormatting>
  <x:conditionalFormatting sqref="H4:H4">
    <x:cfRule type="expression" dxfId="711" priority="64">
      <x:formula>H4="CUMPLIDO"</x:formula>
    </x:cfRule>
    <x:cfRule type="expression" dxfId="712" priority="65">
      <x:formula>H4="EN RIESGO"</x:formula>
    </x:cfRule>
    <x:cfRule type="expression" dxfId="713" priority="66">
      <x:formula>H4="CRÍTICO"</x:formula>
    </x:cfRule>
  </x:conditionalFormatting>
  <x:conditionalFormatting sqref="G5:G5">
    <x:cfRule type="expression" dxfId="714" priority="67">
      <x:formula>AND(ISNUMBER(G5),G5&gt;=1)</x:formula>
    </x:cfRule>
    <x:cfRule type="expression" dxfId="715" priority="68">
      <x:formula>AND(ISNUMBER(G5),G5&gt;=0.8,G5&lt;1)</x:formula>
    </x:cfRule>
    <x:cfRule type="expression" dxfId="716" priority="69">
      <x:formula>AND(ISNUMBER(G5),G5&lt;0.8)</x:formula>
    </x:cfRule>
  </x:conditionalFormatting>
  <x:conditionalFormatting sqref="H5:H5">
    <x:cfRule type="expression" dxfId="717" priority="70">
      <x:formula>H5="CUMPLIDO"</x:formula>
    </x:cfRule>
    <x:cfRule type="expression" dxfId="718" priority="71">
      <x:formula>H5="EN RIESGO"</x:formula>
    </x:cfRule>
    <x:cfRule type="expression" dxfId="719" priority="72">
      <x:formula>H5="CRÍTICO"</x:formula>
    </x:cfRule>
  </x:conditionalFormatting>
  <x:conditionalFormatting sqref="G7:G7">
    <x:cfRule type="expression" dxfId="720" priority="73">
      <x:formula>AND(ISNUMBER(G7),G7&gt;=1)</x:formula>
    </x:cfRule>
    <x:cfRule type="expression" dxfId="721" priority="74">
      <x:formula>AND(ISNUMBER(G7),G7&gt;=0.8,G7&lt;1)</x:formula>
    </x:cfRule>
    <x:cfRule type="expression" dxfId="722" priority="75">
      <x:formula>AND(ISNUMBER(G7),G7&lt;0.8)</x:formula>
    </x:cfRule>
  </x:conditionalFormatting>
  <x:conditionalFormatting sqref="H7:H7">
    <x:cfRule type="expression" dxfId="723" priority="76">
      <x:formula>H7="CUMPLIDO"</x:formula>
    </x:cfRule>
    <x:cfRule type="expression" dxfId="724" priority="77">
      <x:formula>H7="EN RIESGO"</x:formula>
    </x:cfRule>
    <x:cfRule type="expression" dxfId="725" priority="78">
      <x:formula>H7="CRÍTICO"</x:formula>
    </x:cfRule>
  </x:conditionalFormatting>
  <x:conditionalFormatting sqref="G8:G8">
    <x:cfRule type="expression" dxfId="726" priority="79">
      <x:formula>AND(ISNUMBER(G8),G8&gt;=1)</x:formula>
    </x:cfRule>
    <x:cfRule type="expression" dxfId="727" priority="80">
      <x:formula>AND(ISNUMBER(G8),G8&gt;=0.8,G8&lt;1)</x:formula>
    </x:cfRule>
    <x:cfRule type="expression" dxfId="728" priority="81">
      <x:formula>AND(ISNUMBER(G8),G8&lt;0.8)</x:formula>
    </x:cfRule>
  </x:conditionalFormatting>
  <x:conditionalFormatting sqref="H8:H8">
    <x:cfRule type="expression" dxfId="729" priority="82">
      <x:formula>H8="CUMPLIDO"</x:formula>
    </x:cfRule>
    <x:cfRule type="expression" dxfId="730" priority="83">
      <x:formula>H8="EN RIESGO"</x:formula>
    </x:cfRule>
    <x:cfRule type="expression" dxfId="731" priority="84">
      <x:formula>H8="CRÍTICO"</x:formula>
    </x:cfRule>
  </x:conditionalFormatting>
  <x:conditionalFormatting sqref="G9:G9">
    <x:cfRule type="expression" dxfId="732" priority="85">
      <x:formula>AND(ISNUMBER(G9),G9&gt;=1)</x:formula>
    </x:cfRule>
    <x:cfRule type="expression" dxfId="733" priority="86">
      <x:formula>AND(ISNUMBER(G9),G9&gt;=0.8,G9&lt;1)</x:formula>
    </x:cfRule>
    <x:cfRule type="expression" dxfId="734" priority="87">
      <x:formula>AND(ISNUMBER(G9),G9&lt;0.8)</x:formula>
    </x:cfRule>
  </x:conditionalFormatting>
  <x:conditionalFormatting sqref="H9:H9">
    <x:cfRule type="expression" dxfId="735" priority="88">
      <x:formula>H9="CUMPLIDO"</x:formula>
    </x:cfRule>
    <x:cfRule type="expression" dxfId="736" priority="89">
      <x:formula>H9="EN RIESGO"</x:formula>
    </x:cfRule>
    <x:cfRule type="expression" dxfId="737" priority="90">
      <x:formula>H9="CRÍTICO"</x:formula>
    </x:cfRule>
  </x:conditionalFormatting>
  <x:conditionalFormatting sqref="G11:G11">
    <x:cfRule type="expression" dxfId="738" priority="91">
      <x:formula>AND(ISNUMBER(G11),G11&gt;=1)</x:formula>
    </x:cfRule>
    <x:cfRule type="expression" dxfId="739" priority="92">
      <x:formula>AND(ISNUMBER(G11),G11&gt;=0.8,G11&lt;1)</x:formula>
    </x:cfRule>
    <x:cfRule type="expression" dxfId="740" priority="93">
      <x:formula>AND(ISNUMBER(G11),G11&lt;0.8)</x:formula>
    </x:cfRule>
  </x:conditionalFormatting>
  <x:conditionalFormatting sqref="H11:H11">
    <x:cfRule type="expression" dxfId="741" priority="94">
      <x:formula>H11="CUMPLIDO"</x:formula>
    </x:cfRule>
    <x:cfRule type="expression" dxfId="742" priority="95">
      <x:formula>H11="EN RIESGO"</x:formula>
    </x:cfRule>
    <x:cfRule type="expression" dxfId="743" priority="96">
      <x:formula>H11="CRÍTICO"</x:formula>
    </x:cfRule>
  </x:conditionalFormatting>
  <x:conditionalFormatting sqref="G12:G12">
    <x:cfRule type="expression" dxfId="744" priority="97">
      <x:formula>AND(ISNUMBER(G12),G12&gt;=1)</x:formula>
    </x:cfRule>
    <x:cfRule type="expression" dxfId="745" priority="98">
      <x:formula>AND(ISNUMBER(G12),G12&gt;=0.8,G12&lt;1)</x:formula>
    </x:cfRule>
    <x:cfRule type="expression" dxfId="746" priority="99">
      <x:formula>AND(ISNUMBER(G12),G12&lt;0.8)</x:formula>
    </x:cfRule>
  </x:conditionalFormatting>
  <x:conditionalFormatting sqref="H12:H12">
    <x:cfRule type="expression" dxfId="747" priority="100">
      <x:formula>H12="CUMPLIDO"</x:formula>
    </x:cfRule>
    <x:cfRule type="expression" dxfId="748" priority="101">
      <x:formula>H12="EN RIESGO"</x:formula>
    </x:cfRule>
    <x:cfRule type="expression" dxfId="749" priority="102">
      <x:formula>H12="CRÍTICO"</x:formula>
    </x:cfRule>
  </x:conditionalFormatting>
  <x:conditionalFormatting sqref="G13:G13">
    <x:cfRule type="expression" dxfId="750" priority="103">
      <x:formula>AND(ISNUMBER(G13),G13&gt;=1)</x:formula>
    </x:cfRule>
    <x:cfRule type="expression" dxfId="751" priority="104">
      <x:formula>AND(ISNUMBER(G13),G13&gt;=0.8,G13&lt;1)</x:formula>
    </x:cfRule>
    <x:cfRule type="expression" dxfId="752" priority="105">
      <x:formula>AND(ISNUMBER(G13),G13&lt;0.8)</x:formula>
    </x:cfRule>
  </x:conditionalFormatting>
  <x:conditionalFormatting sqref="H13:H13">
    <x:cfRule type="expression" dxfId="753" priority="106">
      <x:formula>H13="CUMPLIDO"</x:formula>
    </x:cfRule>
    <x:cfRule type="expression" dxfId="754" priority="107">
      <x:formula>H13="EN RIESGO"</x:formula>
    </x:cfRule>
    <x:cfRule type="expression" dxfId="755" priority="108">
      <x:formula>H13="CRÍTICO"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3715A"/>
  </x:sheetPr>
  <x:sheetViews>
    <x:sheetView showGridLines="0" workbookViewId="0">
      <x:pane ySplit="2" topLeftCell="A3" activePane="bottomLeft" state="frozen"/>
    </x:sheetView>
  </x:sheetViews>
  <x:sheetFormatPr baseColWidth="10" defaultColWidth="8.6640625" defaultRowHeight="15"/>
  <x:cols>
    <x:col min="1" max="1" width="3" hidden="0" customWidth="1"/>
    <x:col min="2" max="2" width="34" hidden="0" customWidth="1"/>
    <x:col min="3" max="3" width="45" hidden="0" customWidth="1"/>
    <x:col min="4" max="4" width="10" hidden="0" customWidth="1"/>
    <x:col min="5" max="6" width="13" customWidth="1"/>
    <x:col min="7" max="7" width="14" hidden="0" customWidth="1"/>
    <x:col min="8" max="8" width="17" hidden="0" customWidth="1"/>
    <x:col min="9" max="9" width="60" hidden="0" customWidth="1"/>
    <x:col min="5" max="5" width="13" hidden="0" customWidth="1"/>
    <x:col min="6" max="6" width="13" hidden="0" customWidth="1"/>
  </x:cols>
  <x:sheetData>
    <x:row r="1" ht="44" customHeight="1">
      <x:c r="B1" s="408" t="str">
        <x:v>TechPeru / Clientes / 2025</x:v>
      </x:c>
      <x:c r="C1" s="408"/>
      <x:c r="D1" s="408"/>
      <x:c r="E1" s="408"/>
      <x:c r="F1" s="408"/>
      <x:c r="G1" s="408"/>
      <x:c r="H1" s="408"/>
      <x:c r="I1" s="408"/>
    </x:row>
    <x:row r="2" ht="32" customHeight="1">
      <x:c r="B2" s="431" t="s">
        <x:v>1</x:v>
      </x:c>
      <x:c r="C2" s="431" t="s">
        <x:v>2</x:v>
      </x:c>
      <x:c r="D2" s="431" t="s">
        <x:v>3</x:v>
      </x:c>
      <x:c r="E2" s="431" t="s">
        <x:v>64</x:v>
      </x:c>
      <x:c r="F2" s="431" t="s">
        <x:v>65</x:v>
      </x:c>
      <x:c r="G2" s="431" t="s">
        <x:v>6</x:v>
      </x:c>
      <x:c r="H2" s="431" t="s">
        <x:v>7</x:v>
      </x:c>
      <x:c r="I2" s="431" t="s">
        <x:v>66</x:v>
      </x:c>
    </x:row>
    <x:row r="3" ht="42" customHeight="1">
      <x:c r="B3" s="482" t="str">
        <x:v>Maximizar la Satisfacción del Cliente</x:v>
      </x:c>
      <x:c r="C3" s="402" t="s">
        <x:v>24</x:v>
      </x:c>
      <x:c r="D3" s="401" t="s">
        <x:v>25</x:v>
      </x:c>
      <x:c r="E3" s="403" t="n">
        <x:f>'📊 BSC Completo'!F14</x:f>
        <x:v>65</x:v>
      </x:c>
      <x:c r="F3" s="403" t="n">
        <x:f>IF(ISNUMBER('📊 BSC Completo'!G14),'📊 BSC Completo'!G14,"")</x:f>
        <x:v>58</x:v>
      </x:c>
      <x:c r="G3" s="404" t="n">
        <x:f>IF(ISNUMBER('📊 BSC Completo'!H14),'📊 BSC Completo'!H14,"")</x:f>
        <x:v>0.8923076923076924</x:v>
      </x:c>
      <x:c r="H3" s="401" t="str">
        <x:f>'📊 BSC Completo'!I14</x:f>
        <x:v>EN RIESGO</x:v>
      </x:c>
      <x:c r="I3" s="465" t="str">
        <x:f>IF(H3="SIN DATOS","Registrar el resultado en BSC Completo.",IF(H3="CUMPLIDO","Meta alcanzada. Mantener el seguimiento.",IF(H3="REVISAR META","Revisar la meta y los datos de entrada.","Implementar seguimiento posventa a 30, 60 y 90 días.")))</x:f>
        <x:v>Implementar seguimiento posventa a 30, 60 y 90 días.</x:v>
      </x:c>
    </x:row>
    <x:row r="4" ht="42" customHeight="1">
      <x:c r="B4" s="482"/>
      <x:c r="C4" s="424" t="s">
        <x:v>26</x:v>
      </x:c>
      <x:c r="D4" s="425" t="s">
        <x:v>10</x:v>
      </x:c>
      <x:c r="E4" s="426" t="n">
        <x:f>'📊 BSC Completo'!F15</x:f>
        <x:v>88</x:v>
      </x:c>
      <x:c r="F4" s="426" t="n">
        <x:f>IF(ISNUMBER('📊 BSC Completo'!G15),'📊 BSC Completo'!G15,"")</x:f>
        <x:v>84</x:v>
      </x:c>
      <x:c r="G4" s="427" t="n">
        <x:f>IF(ISNUMBER('📊 BSC Completo'!H15),'📊 BSC Completo'!H15,"")</x:f>
        <x:v>0.9545454545454546</x:v>
      </x:c>
      <x:c r="H4" s="425" t="str">
        <x:f>'📊 BSC Completo'!I15</x:f>
        <x:v>EN RIESGO</x:v>
      </x:c>
      <x:c r="I4" s="468" t="str">
        <x:f>IF(H4="SIN DATOS","Registrar el resultado en BSC Completo.",IF(H4="CUMPLIDO","Meta alcanzada. Mantener el seguimiento.",IF(H4="REVISAR META","Revisar la meta y los datos de entrada.","Reforzar la incorporación del cliente y el soporte técnico.")))</x:f>
        <x:v>Reforzar la incorporación del cliente y el soporte técnico.</x:v>
      </x:c>
    </x:row>
    <x:row r="5" ht="42" customHeight="1">
      <x:c r="B5" s="482"/>
      <x:c r="C5" s="402" t="s">
        <x:v>27</x:v>
      </x:c>
      <x:c r="D5" s="401" t="s">
        <x:v>28</x:v>
      </x:c>
      <x:c r="E5" s="403" t="n">
        <x:f>'📊 BSC Completo'!F16</x:f>
        <x:v>2</x:v>
      </x:c>
      <x:c r="F5" s="403" t="n">
        <x:f>IF(ISNUMBER('📊 BSC Completo'!G16),'📊 BSC Completo'!G16,"")</x:f>
        <x:v>2.8</x:v>
      </x:c>
      <x:c r="G5" s="404" t="n">
        <x:f>IF(ISNUMBER('📊 BSC Completo'!H16),'📊 BSC Completo'!H16,"")</x:f>
        <x:v>0.7142857142857143</x:v>
      </x:c>
      <x:c r="H5" s="401" t="str">
        <x:f>'📊 BSC Completo'!I16</x:f>
        <x:v>CRÍTICO</x:v>
      </x:c>
      <x:c r="I5" s="465" t="str">
        <x:f>IF(H5="SIN DATOS","Registrar el resultado en BSC Completo.",IF(H5="CUMPLIDO","Meta alcanzada. Mantener el seguimiento.",IF(H5="REVISAR META","Revisar la meta y los datos de entrada.","Asignar soporte especializado para resolver quejas.")))</x:f>
        <x:v>Asignar soporte especializado para resolver quejas.</x:v>
      </x:c>
    </x:row>
    <x:row r="6" ht="4.5" customHeight="1">
      <x:c r="B6" s="400"/>
      <x:c r="C6" s="400"/>
      <x:c r="D6" s="400"/>
      <x:c r="E6" s="400"/>
      <x:c r="F6" s="400"/>
      <x:c r="G6" s="400"/>
      <x:c r="H6" s="400"/>
      <x:c r="I6" s="405"/>
    </x:row>
    <x:row r="7" ht="42" customHeight="1">
      <x:c r="B7" s="482" t="str">
        <x:v>Aumentar la Retención y Fidelización</x:v>
      </x:c>
      <x:c r="C7" s="424" t="s">
        <x:v>30</x:v>
      </x:c>
      <x:c r="D7" s="425" t="s">
        <x:v>10</x:v>
      </x:c>
      <x:c r="E7" s="426" t="n">
        <x:f>'📊 BSC Completo'!F17</x:f>
        <x:v>90</x:v>
      </x:c>
      <x:c r="F7" s="426" t="n">
        <x:f>IF(ISNUMBER('📊 BSC Completo'!G17),'📊 BSC Completo'!G17,"")</x:f>
        <x:v>87</x:v>
      </x:c>
      <x:c r="G7" s="427" t="n">
        <x:f>IF(ISNUMBER('📊 BSC Completo'!H17),'📊 BSC Completo'!H17,"")</x:f>
        <x:v>0.9666666666666667</x:v>
      </x:c>
      <x:c r="H7" s="425" t="str">
        <x:f>'📊 BSC Completo'!I17</x:f>
        <x:v>EN RIESGO</x:v>
      </x:c>
      <x:c r="I7" s="468" t="str">
        <x:f>IF(H7="SIN DATOS","Registrar el resultado en BSC Completo.",IF(H7="CUMPLIDO","Meta alcanzada. Mantener el seguimiento.",IF(H7="REVISAR META","Revisar la meta y los datos de entrada.","Fortalecer el programa de fidelización de clientes.")))</x:f>
        <x:v>Fortalecer el programa de fidelización de clientes.</x:v>
      </x:c>
    </x:row>
    <x:row r="8" ht="42" customHeight="1">
      <x:c r="B8" s="482"/>
      <x:c r="C8" s="402" t="s">
        <x:v>31</x:v>
      </x:c>
      <x:c r="D8" s="401" t="s">
        <x:v>10</x:v>
      </x:c>
      <x:c r="E8" s="403" t="n">
        <x:f>'📊 BSC Completo'!F18</x:f>
        <x:v>55</x:v>
      </x:c>
      <x:c r="F8" s="403" t="n">
        <x:f>IF(ISNUMBER('📊 BSC Completo'!G18),'📊 BSC Completo'!G18,"")</x:f>
        <x:v>49</x:v>
      </x:c>
      <x:c r="G8" s="404" t="n">
        <x:f>IF(ISNUMBER('📊 BSC Completo'!H18),'📊 BSC Completo'!H18,"")</x:f>
        <x:v>0.8909090909090909</x:v>
      </x:c>
      <x:c r="H8" s="401" t="str">
        <x:f>'📊 BSC Completo'!I18</x:f>
        <x:v>EN RIESGO</x:v>
      </x:c>
      <x:c r="I8" s="465" t="str">
        <x:f>IF(H8="SIN DATOS","Registrar el resultado en BSC Completo.",IF(H8="CUMPLIDO","Meta alcanzada. Mantener el seguimiento.",IF(H8="REVISAR META","Revisar la meta y los datos de entrada.","Realizar campañas de recuperación de clientes.")))</x:f>
        <x:v>Realizar campañas de recuperación de clientes.</x:v>
      </x:c>
    </x:row>
    <x:row r="9" ht="42" customHeight="1">
      <x:c r="B9" s="482"/>
      <x:c r="C9" s="424" t="s">
        <x:v>32</x:v>
      </x:c>
      <x:c r="D9" s="425" t="s">
        <x:v>10</x:v>
      </x:c>
      <x:c r="E9" s="426" t="n">
        <x:f>'📊 BSC Completo'!F19</x:f>
        <x:v>5</x:v>
      </x:c>
      <x:c r="F9" s="426" t="n">
        <x:f>IF(ISNUMBER('📊 BSC Completo'!G19),'📊 BSC Completo'!G19,"")</x:f>
        <x:v>7.2</x:v>
      </x:c>
      <x:c r="G9" s="427" t="n">
        <x:f>IF(ISNUMBER('📊 BSC Completo'!H19),'📊 BSC Completo'!H19,"")</x:f>
        <x:v>0.6944444444444444</x:v>
      </x:c>
      <x:c r="H9" s="425" t="str">
        <x:f>'📊 BSC Completo'!I19</x:f>
        <x:v>CRÍTICO</x:v>
      </x:c>
      <x:c r="I9" s="468" t="str">
        <x:f>IF(H9="SIN DATOS","Registrar el resultado en BSC Completo.",IF(H9="CUMPLIDO","Meta alcanzada. Mantener el seguimiento.",IF(H9="REVISAR META","Revisar la meta y los datos de entrada.","Investigar las causas de abandono y dar seguimiento.")))</x:f>
        <x:v>Investigar las causas de abandono y dar seguimiento.</x:v>
      </x:c>
    </x:row>
    <x:row r="10" ht="4.5" customHeight="1">
      <x:c r="B10" s="400"/>
      <x:c r="C10" s="400"/>
      <x:c r="D10" s="400"/>
      <x:c r="E10" s="400"/>
      <x:c r="F10" s="400"/>
      <x:c r="G10" s="400"/>
      <x:c r="H10" s="400"/>
      <x:c r="I10" s="405"/>
    </x:row>
    <x:row r="11" ht="42" customHeight="1">
      <x:c r="B11" s="482" t="str">
        <x:v>Expandir la Base de Clientes</x:v>
      </x:c>
      <x:c r="C11" s="402" t="s">
        <x:v>34</x:v>
      </x:c>
      <x:c r="D11" s="401" t="s">
        <x:v>35</x:v>
      </x:c>
      <x:c r="E11" s="403" t="n">
        <x:f>'📊 BSC Completo'!F20</x:f>
        <x:v>120</x:v>
      </x:c>
      <x:c r="F11" s="403" t="n">
        <x:f>IF(ISNUMBER('📊 BSC Completo'!G20),'📊 BSC Completo'!G20,"")</x:f>
        <x:v>105</x:v>
      </x:c>
      <x:c r="G11" s="404" t="n">
        <x:f>IF(ISNUMBER('📊 BSC Completo'!H20),'📊 BSC Completo'!H20,"")</x:f>
        <x:v>0.875</x:v>
      </x:c>
      <x:c r="H11" s="401" t="str">
        <x:f>'📊 BSC Completo'!I20</x:f>
        <x:v>EN RIESGO</x:v>
      </x:c>
      <x:c r="I11" s="465" t="str">
        <x:f>IF(H11="SIN DATOS","Registrar el resultado en BSC Completo.",IF(H11="CUMPLIDO","Meta alcanzada. Mantener el seguimiento.",IF(H11="REVISAR META","Revisar la meta y los datos de entrada.","Ampliar la captación comercial en regiones.")))</x:f>
        <x:v>Ampliar la captación comercial en regiones.</x:v>
      </x:c>
    </x:row>
    <x:row r="12" ht="42" customHeight="1">
      <x:c r="B12" s="482"/>
      <x:c r="C12" s="424" t="s">
        <x:v>36</x:v>
      </x:c>
      <x:c r="D12" s="425" t="s">
        <x:v>10</x:v>
      </x:c>
      <x:c r="E12" s="426" t="n">
        <x:f>'📊 BSC Completo'!F21</x:f>
        <x:v>8.5</x:v>
      </x:c>
      <x:c r="F12" s="426" t="n">
        <x:f>IF(ISNUMBER('📊 BSC Completo'!G21),'📊 BSC Completo'!G21,"")</x:f>
        <x:v>7.8</x:v>
      </x:c>
      <x:c r="G12" s="427" t="n">
        <x:f>IF(ISNUMBER('📊 BSC Completo'!H21),'📊 BSC Completo'!H21,"")</x:f>
        <x:v>0.9176470588235294</x:v>
      </x:c>
      <x:c r="H12" s="425" t="str">
        <x:f>'📊 BSC Completo'!I21</x:f>
        <x:v>EN RIESGO</x:v>
      </x:c>
      <x:c r="I12" s="468" t="str">
        <x:f>IF(H12="SIN DATOS","Registrar el resultado en BSC Completo.",IF(H12="CUMPLIDO","Meta alcanzada. Mantener el seguimiento.",IF(H12="REVISAR META","Revisar la meta y los datos de entrada.","Ejecutar campañas en los mercados objetivo.")))</x:f>
        <x:v>Ejecutar campañas en los mercados objetivo.</x:v>
      </x:c>
    </x:row>
    <x:row r="13" ht="42" customHeight="1">
      <x:c r="B13" s="482"/>
      <x:c r="C13" s="402" t="s">
        <x:v>37</x:v>
      </x:c>
      <x:c r="D13" s="401" t="s">
        <x:v>21</x:v>
      </x:c>
      <x:c r="E13" s="403" t="n">
        <x:f>'📊 BSC Completo'!F22</x:f>
        <x:v>180</x:v>
      </x:c>
      <x:c r="F13" s="403" t="n">
        <x:f>IF(ISNUMBER('📊 BSC Completo'!G22),'📊 BSC Completo'!G22,"")</x:f>
        <x:v>215</x:v>
      </x:c>
      <x:c r="G13" s="404" t="n">
        <x:f>IF(ISNUMBER('📊 BSC Completo'!H22),'📊 BSC Completo'!H22,"")</x:f>
        <x:v>0.8372093023255814</x:v>
      </x:c>
      <x:c r="H13" s="401" t="str">
        <x:f>'📊 BSC Completo'!I22</x:f>
        <x:v>EN RIESGO</x:v>
      </x:c>
      <x:c r="I13" s="465" t="str">
        <x:f>IF(H13="SIN DATOS","Registrar el resultado en BSC Completo.",IF(H13="CUMPLIDO","Meta alcanzada. Mantener el seguimiento.",IF(H13="REVISAR META","Revisar la meta y los datos de entrada.","Optimizar campañas y calificación de prospectos.")))</x:f>
        <x:v>Optimizar campañas y calificación de prospectos.</x:v>
      </x:c>
    </x:row>
    <x:row r="14" ht="4.5" customHeight="1">
      <x:c r="B14" s="400"/>
      <x:c r="C14" s="400"/>
      <x:c r="D14" s="400"/>
      <x:c r="E14" s="400"/>
      <x:c r="F14" s="400"/>
      <x:c r="G14" s="400"/>
      <x:c r="H14" s="400"/>
      <x:c r="I14" s="400"/>
    </x:row>
    <x:row r="15">
      <x:c r="B15" s="400"/>
      <x:c r="C15" s="400"/>
      <x:c r="D15" s="400"/>
      <x:c r="E15" s="400"/>
      <x:c r="F15" s="400"/>
      <x:c r="G15" s="400"/>
      <x:c r="H15" s="400"/>
      <x:c r="I15" s="400"/>
    </x:row>
    <x:row r="16" ht="24" customHeight="1">
      <x:c r="B16" s="470" t="str">
        <x:v>Vista vinculada: Meta y Real se editan en BSC Completo. Unidades y sentido se conservan por indicador.</x:v>
      </x:c>
      <x:c r="C16" s="470"/>
      <x:c r="D16" s="470"/>
      <x:c r="E16" s="470"/>
      <x:c r="F16" s="470"/>
      <x:c r="G16" s="470"/>
      <x:c r="H16" s="470"/>
      <x:c r="I16" s="470"/>
    </x:row>
    <x:row r="17">
      <x:c r="B17" s="400"/>
      <x:c r="C17" s="400"/>
      <x:c r="D17" s="400"/>
      <x:c r="E17" s="400"/>
      <x:c r="F17" s="400"/>
      <x:c r="G17" s="400"/>
      <x:c r="H17" s="400"/>
      <x:c r="I17" s="400"/>
    </x:row>
    <x:row r="18" ht="30" customHeight="1">
      <x:c r="B18" s="471" t="str">
        <x:v>Edite Meta y Real solo en BSC Completo. Esta hoja se actualiza automáticamente.</x:v>
      </x:c>
      <x:c r="C18" s="471"/>
      <x:c r="D18" s="471"/>
      <x:c r="E18" s="471"/>
      <x:c r="F18" s="471"/>
      <x:c r="G18" s="471"/>
      <x:c r="H18" s="471"/>
      <x:c r="I18" s="471"/>
    </x:row>
  </x:sheetData>
  <x:mergeCells>
    <x:mergeCell ref="B1:I1"/>
    <x:mergeCell ref="B3:B5"/>
    <x:mergeCell ref="B7:B9"/>
    <x:mergeCell ref="B11:B13"/>
    <x:mergeCell ref="B16:I16"/>
    <x:mergeCell ref="B18:I18"/>
  </x:mergeCells>
  <x:conditionalFormatting sqref="G3:G3">
    <x:cfRule type="expression" dxfId="756" priority="55">
      <x:formula>AND(ISNUMBER(G3),G3&gt;=1)</x:formula>
    </x:cfRule>
    <x:cfRule type="expression" dxfId="757" priority="56">
      <x:formula>AND(ISNUMBER(G3),G3&gt;=0.8,G3&lt;1)</x:formula>
    </x:cfRule>
    <x:cfRule type="expression" dxfId="758" priority="57">
      <x:formula>AND(ISNUMBER(G3),G3&lt;0.8)</x:formula>
    </x:cfRule>
  </x:conditionalFormatting>
  <x:conditionalFormatting sqref="H3:H3">
    <x:cfRule type="expression" dxfId="759" priority="58">
      <x:formula>H3="CUMPLIDO"</x:formula>
    </x:cfRule>
    <x:cfRule type="expression" dxfId="760" priority="59">
      <x:formula>H3="EN RIESGO"</x:formula>
    </x:cfRule>
    <x:cfRule type="expression" dxfId="761" priority="60">
      <x:formula>H3="CRÍTICO"</x:formula>
    </x:cfRule>
  </x:conditionalFormatting>
  <x:conditionalFormatting sqref="G4:G4">
    <x:cfRule type="expression" dxfId="762" priority="61">
      <x:formula>AND(ISNUMBER(G4),G4&gt;=1)</x:formula>
    </x:cfRule>
    <x:cfRule type="expression" dxfId="763" priority="62">
      <x:formula>AND(ISNUMBER(G4),G4&gt;=0.8,G4&lt;1)</x:formula>
    </x:cfRule>
    <x:cfRule type="expression" dxfId="764" priority="63">
      <x:formula>AND(ISNUMBER(G4),G4&lt;0.8)</x:formula>
    </x:cfRule>
  </x:conditionalFormatting>
  <x:conditionalFormatting sqref="H4:H4">
    <x:cfRule type="expression" dxfId="765" priority="64">
      <x:formula>H4="CUMPLIDO"</x:formula>
    </x:cfRule>
    <x:cfRule type="expression" dxfId="766" priority="65">
      <x:formula>H4="EN RIESGO"</x:formula>
    </x:cfRule>
    <x:cfRule type="expression" dxfId="767" priority="66">
      <x:formula>H4="CRÍTICO"</x:formula>
    </x:cfRule>
  </x:conditionalFormatting>
  <x:conditionalFormatting sqref="G5:G5">
    <x:cfRule type="expression" dxfId="768" priority="67">
      <x:formula>AND(ISNUMBER(G5),G5&gt;=1)</x:formula>
    </x:cfRule>
    <x:cfRule type="expression" dxfId="769" priority="68">
      <x:formula>AND(ISNUMBER(G5),G5&gt;=0.8,G5&lt;1)</x:formula>
    </x:cfRule>
    <x:cfRule type="expression" dxfId="770" priority="69">
      <x:formula>AND(ISNUMBER(G5),G5&lt;0.8)</x:formula>
    </x:cfRule>
  </x:conditionalFormatting>
  <x:conditionalFormatting sqref="H5:H5">
    <x:cfRule type="expression" dxfId="771" priority="70">
      <x:formula>H5="CUMPLIDO"</x:formula>
    </x:cfRule>
    <x:cfRule type="expression" dxfId="772" priority="71">
      <x:formula>H5="EN RIESGO"</x:formula>
    </x:cfRule>
    <x:cfRule type="expression" dxfId="773" priority="72">
      <x:formula>H5="CRÍTICO"</x:formula>
    </x:cfRule>
  </x:conditionalFormatting>
  <x:conditionalFormatting sqref="G7:G7">
    <x:cfRule type="expression" dxfId="774" priority="73">
      <x:formula>AND(ISNUMBER(G7),G7&gt;=1)</x:formula>
    </x:cfRule>
    <x:cfRule type="expression" dxfId="775" priority="74">
      <x:formula>AND(ISNUMBER(G7),G7&gt;=0.8,G7&lt;1)</x:formula>
    </x:cfRule>
    <x:cfRule type="expression" dxfId="776" priority="75">
      <x:formula>AND(ISNUMBER(G7),G7&lt;0.8)</x:formula>
    </x:cfRule>
  </x:conditionalFormatting>
  <x:conditionalFormatting sqref="H7:H7">
    <x:cfRule type="expression" dxfId="777" priority="76">
      <x:formula>H7="CUMPLIDO"</x:formula>
    </x:cfRule>
    <x:cfRule type="expression" dxfId="778" priority="77">
      <x:formula>H7="EN RIESGO"</x:formula>
    </x:cfRule>
    <x:cfRule type="expression" dxfId="779" priority="78">
      <x:formula>H7="CRÍTICO"</x:formula>
    </x:cfRule>
  </x:conditionalFormatting>
  <x:conditionalFormatting sqref="G8:G8">
    <x:cfRule type="expression" dxfId="780" priority="79">
      <x:formula>AND(ISNUMBER(G8),G8&gt;=1)</x:formula>
    </x:cfRule>
    <x:cfRule type="expression" dxfId="781" priority="80">
      <x:formula>AND(ISNUMBER(G8),G8&gt;=0.8,G8&lt;1)</x:formula>
    </x:cfRule>
    <x:cfRule type="expression" dxfId="782" priority="81">
      <x:formula>AND(ISNUMBER(G8),G8&lt;0.8)</x:formula>
    </x:cfRule>
  </x:conditionalFormatting>
  <x:conditionalFormatting sqref="H8:H8">
    <x:cfRule type="expression" dxfId="783" priority="82">
      <x:formula>H8="CUMPLIDO"</x:formula>
    </x:cfRule>
    <x:cfRule type="expression" dxfId="784" priority="83">
      <x:formula>H8="EN RIESGO"</x:formula>
    </x:cfRule>
    <x:cfRule type="expression" dxfId="785" priority="84">
      <x:formula>H8="CRÍTICO"</x:formula>
    </x:cfRule>
  </x:conditionalFormatting>
  <x:conditionalFormatting sqref="G9:G9">
    <x:cfRule type="expression" dxfId="786" priority="85">
      <x:formula>AND(ISNUMBER(G9),G9&gt;=1)</x:formula>
    </x:cfRule>
    <x:cfRule type="expression" dxfId="787" priority="86">
      <x:formula>AND(ISNUMBER(G9),G9&gt;=0.8,G9&lt;1)</x:formula>
    </x:cfRule>
    <x:cfRule type="expression" dxfId="788" priority="87">
      <x:formula>AND(ISNUMBER(G9),G9&lt;0.8)</x:formula>
    </x:cfRule>
  </x:conditionalFormatting>
  <x:conditionalFormatting sqref="H9:H9">
    <x:cfRule type="expression" dxfId="789" priority="88">
      <x:formula>H9="CUMPLIDO"</x:formula>
    </x:cfRule>
    <x:cfRule type="expression" dxfId="790" priority="89">
      <x:formula>H9="EN RIESGO"</x:formula>
    </x:cfRule>
    <x:cfRule type="expression" dxfId="791" priority="90">
      <x:formula>H9="CRÍTICO"</x:formula>
    </x:cfRule>
  </x:conditionalFormatting>
  <x:conditionalFormatting sqref="G11:G11">
    <x:cfRule type="expression" dxfId="792" priority="91">
      <x:formula>AND(ISNUMBER(G11),G11&gt;=1)</x:formula>
    </x:cfRule>
    <x:cfRule type="expression" dxfId="793" priority="92">
      <x:formula>AND(ISNUMBER(G11),G11&gt;=0.8,G11&lt;1)</x:formula>
    </x:cfRule>
    <x:cfRule type="expression" dxfId="794" priority="93">
      <x:formula>AND(ISNUMBER(G11),G11&lt;0.8)</x:formula>
    </x:cfRule>
  </x:conditionalFormatting>
  <x:conditionalFormatting sqref="H11:H11">
    <x:cfRule type="expression" dxfId="795" priority="94">
      <x:formula>H11="CUMPLIDO"</x:formula>
    </x:cfRule>
    <x:cfRule type="expression" dxfId="796" priority="95">
      <x:formula>H11="EN RIESGO"</x:formula>
    </x:cfRule>
    <x:cfRule type="expression" dxfId="797" priority="96">
      <x:formula>H11="CRÍTICO"</x:formula>
    </x:cfRule>
  </x:conditionalFormatting>
  <x:conditionalFormatting sqref="G12:G12">
    <x:cfRule type="expression" dxfId="798" priority="97">
      <x:formula>AND(ISNUMBER(G12),G12&gt;=1)</x:formula>
    </x:cfRule>
    <x:cfRule type="expression" dxfId="799" priority="98">
      <x:formula>AND(ISNUMBER(G12),G12&gt;=0.8,G12&lt;1)</x:formula>
    </x:cfRule>
    <x:cfRule type="expression" dxfId="800" priority="99">
      <x:formula>AND(ISNUMBER(G12),G12&lt;0.8)</x:formula>
    </x:cfRule>
  </x:conditionalFormatting>
  <x:conditionalFormatting sqref="H12:H12">
    <x:cfRule type="expression" dxfId="801" priority="100">
      <x:formula>H12="CUMPLIDO"</x:formula>
    </x:cfRule>
    <x:cfRule type="expression" dxfId="802" priority="101">
      <x:formula>H12="EN RIESGO"</x:formula>
    </x:cfRule>
    <x:cfRule type="expression" dxfId="803" priority="102">
      <x:formula>H12="CRÍTICO"</x:formula>
    </x:cfRule>
  </x:conditionalFormatting>
  <x:conditionalFormatting sqref="G13:G13">
    <x:cfRule type="expression" dxfId="804" priority="103">
      <x:formula>AND(ISNUMBER(G13),G13&gt;=1)</x:formula>
    </x:cfRule>
    <x:cfRule type="expression" dxfId="805" priority="104">
      <x:formula>AND(ISNUMBER(G13),G13&gt;=0.8,G13&lt;1)</x:formula>
    </x:cfRule>
    <x:cfRule type="expression" dxfId="806" priority="105">
      <x:formula>AND(ISNUMBER(G13),G13&lt;0.8)</x:formula>
    </x:cfRule>
  </x:conditionalFormatting>
  <x:conditionalFormatting sqref="H13:H13">
    <x:cfRule type="expression" dxfId="807" priority="106">
      <x:formula>H13="CUMPLIDO"</x:formula>
    </x:cfRule>
    <x:cfRule type="expression" dxfId="808" priority="107">
      <x:formula>H13="EN RIESGO"</x:formula>
    </x:cfRule>
    <x:cfRule type="expression" dxfId="809" priority="108">
      <x:formula>H13="CRÍTICO"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46E2B"/>
  </x:sheetPr>
  <x:sheetViews>
    <x:sheetView showGridLines="0" workbookViewId="0">
      <x:pane ySplit="2" topLeftCell="A3" activePane="bottomLeft" state="frozen"/>
    </x:sheetView>
  </x:sheetViews>
  <x:sheetFormatPr baseColWidth="10" defaultColWidth="8.6640625" defaultRowHeight="15"/>
  <x:cols>
    <x:col min="1" max="1" width="3" hidden="0" customWidth="1"/>
    <x:col min="2" max="2" width="34" hidden="0" customWidth="1"/>
    <x:col min="3" max="3" width="45" hidden="0" customWidth="1"/>
    <x:col min="4" max="4" width="10" hidden="0" customWidth="1"/>
    <x:col min="5" max="6" width="13" customWidth="1"/>
    <x:col min="7" max="7" width="14" hidden="0" customWidth="1"/>
    <x:col min="8" max="8" width="17" hidden="0" customWidth="1"/>
    <x:col min="9" max="9" width="60" hidden="0" customWidth="1"/>
    <x:col min="5" max="5" width="13" hidden="0" customWidth="1"/>
    <x:col min="6" max="6" width="13" hidden="0" customWidth="1"/>
  </x:cols>
  <x:sheetData>
    <x:row r="1" ht="44" customHeight="1">
      <x:c r="B1" s="408" t="str">
        <x:v>TechPeru / Procesos internos / 2025</x:v>
      </x:c>
      <x:c r="C1" s="408"/>
      <x:c r="D1" s="408"/>
      <x:c r="E1" s="408"/>
      <x:c r="F1" s="408"/>
      <x:c r="G1" s="408"/>
      <x:c r="H1" s="408"/>
      <x:c r="I1" s="408"/>
    </x:row>
    <x:row r="2" ht="32" customHeight="1">
      <x:c r="B2" s="435" t="s">
        <x:v>1</x:v>
      </x:c>
      <x:c r="C2" s="435" t="s">
        <x:v>2</x:v>
      </x:c>
      <x:c r="D2" s="435" t="s">
        <x:v>3</x:v>
      </x:c>
      <x:c r="E2" s="435" t="s">
        <x:v>64</x:v>
      </x:c>
      <x:c r="F2" s="435" t="s">
        <x:v>65</x:v>
      </x:c>
      <x:c r="G2" s="435" t="s">
        <x:v>6</x:v>
      </x:c>
      <x:c r="H2" s="435" t="s">
        <x:v>7</x:v>
      </x:c>
      <x:c r="I2" s="435" t="s">
        <x:v>66</x:v>
      </x:c>
    </x:row>
    <x:row r="3" ht="42" customHeight="1">
      <x:c r="B3" s="493" t="str">
        <x:v>Excelencia en Operaciones y Calidad</x:v>
      </x:c>
      <x:c r="C3" s="402" t="s">
        <x:v>39</x:v>
      </x:c>
      <x:c r="D3" s="401" t="s">
        <x:v>28</x:v>
      </x:c>
      <x:c r="E3" s="403" t="n">
        <x:f>'📊 BSC Completo'!F24</x:f>
        <x:v>3</x:v>
      </x:c>
      <x:c r="F3" s="403" t="n">
        <x:f>IF(ISNUMBER('📊 BSC Completo'!G24),'📊 BSC Completo'!G24,"")</x:f>
        <x:v>3.5</x:v>
      </x:c>
      <x:c r="G3" s="404" t="n">
        <x:f>IF(ISNUMBER('📊 BSC Completo'!H24),'📊 BSC Completo'!H24,"")</x:f>
        <x:v>0.8571428571428571</x:v>
      </x:c>
      <x:c r="H3" s="401" t="str">
        <x:f>'📊 BSC Completo'!I24</x:f>
        <x:v>EN RIESGO</x:v>
      </x:c>
      <x:c r="I3" s="465" t="str">
        <x:f>IF(H3="SIN DATOS","Registrar el resultado en BSC Completo.",IF(H3="CUMPLIDO","Meta alcanzada. Mantener el seguimiento.",IF(H3="REVISAR META","Revisar la meta y los datos de entrada.","Revisar cuellos de botella en preparación y despacho.")))</x:f>
        <x:v>Revisar cuellos de botella en preparación y despacho.</x:v>
      </x:c>
    </x:row>
    <x:row r="4" ht="42" customHeight="1">
      <x:c r="B4" s="493"/>
      <x:c r="C4" s="424" t="s">
        <x:v>40</x:v>
      </x:c>
      <x:c r="D4" s="425" t="s">
        <x:v>10</x:v>
      </x:c>
      <x:c r="E4" s="426" t="n">
        <x:f>'📊 BSC Completo'!F25</x:f>
        <x:v>2</x:v>
      </x:c>
      <x:c r="F4" s="426" t="n">
        <x:f>IF(ISNUMBER('📊 BSC Completo'!G25),'📊 BSC Completo'!G25,"")</x:f>
        <x:v>2.8</x:v>
      </x:c>
      <x:c r="G4" s="427" t="n">
        <x:f>IF(ISNUMBER('📊 BSC Completo'!H25),'📊 BSC Completo'!H25,"")</x:f>
        <x:v>0.7142857142857143</x:v>
      </x:c>
      <x:c r="H4" s="425" t="str">
        <x:f>'📊 BSC Completo'!I25</x:f>
        <x:v>CRÍTICO</x:v>
      </x:c>
      <x:c r="I4" s="468" t="str">
        <x:f>IF(H4="SIN DATOS","Registrar el resultado en BSC Completo.",IF(H4="CUMPLIDO","Meta alcanzada. Mantener el seguimiento.",IF(H4="REVISAR META","Revisar la meta y los datos de entrada.","Aplicar controles de calidad en cada etapa.")))</x:f>
        <x:v>Aplicar controles de calidad en cada etapa.</x:v>
      </x:c>
    </x:row>
    <x:row r="5" ht="42" customHeight="1">
      <x:c r="B5" s="493"/>
      <x:c r="C5" s="402" t="s">
        <x:v>41</x:v>
      </x:c>
      <x:c r="D5" s="401" t="s">
        <x:v>13</x:v>
      </x:c>
      <x:c r="E5" s="403" t="n">
        <x:f>'📊 BSC Completo'!F26</x:f>
        <x:v>0.25</x:v>
      </x:c>
      <x:c r="F5" s="403" t="n">
        <x:f>IF(ISNUMBER('📊 BSC Completo'!G26),'📊 BSC Completo'!G26,"")</x:f>
        <x:v>0.22</x:v>
      </x:c>
      <x:c r="G5" s="404" t="n">
        <x:f>IF(ISNUMBER('📊 BSC Completo'!H26),'📊 BSC Completo'!H26,"")</x:f>
        <x:v>0.88</x:v>
      </x:c>
      <x:c r="H5" s="401" t="str">
        <x:f>'📊 BSC Completo'!I26</x:f>
        <x:v>EN RIESGO</x:v>
      </x:c>
      <x:c r="I5" s="465" t="str">
        <x:f>IF(H5="SIN DATOS","Registrar el resultado en BSC Completo.",IF(H5="CUMPLIDO","Meta alcanzada. Mantener el seguimiento.",IF(H5="REVISAR META","Revisar la meta y los datos de entrada.","Automatizar tareas repetitivas del personal.")))</x:f>
        <x:v>Automatizar tareas repetitivas del personal.</x:v>
      </x:c>
    </x:row>
    <x:row r="6" ht="4.5" customHeight="1">
      <x:c r="B6" s="400"/>
      <x:c r="C6" s="400"/>
      <x:c r="D6" s="400"/>
      <x:c r="E6" s="400"/>
      <x:c r="F6" s="400"/>
      <x:c r="G6" s="400"/>
      <x:c r="H6" s="400"/>
      <x:c r="I6" s="405"/>
    </x:row>
    <x:row r="7" ht="42" customHeight="1">
      <x:c r="B7" s="493" t="str">
        <x:v>Innovación y Desarrollo de Producto</x:v>
      </x:c>
      <x:c r="C7" s="424" t="s">
        <x:v>43</x:v>
      </x:c>
      <x:c r="D7" s="425" t="s">
        <x:v>35</x:v>
      </x:c>
      <x:c r="E7" s="426" t="n">
        <x:f>'📊 BSC Completo'!F27</x:f>
        <x:v>4</x:v>
      </x:c>
      <x:c r="F7" s="426" t="n">
        <x:f>IF(ISNUMBER('📊 BSC Completo'!G27),'📊 BSC Completo'!G27,"")</x:f>
        <x:v>3</x:v>
      </x:c>
      <x:c r="G7" s="427" t="n">
        <x:f>IF(ISNUMBER('📊 BSC Completo'!H27),'📊 BSC Completo'!H27,"")</x:f>
        <x:v>0.75</x:v>
      </x:c>
      <x:c r="H7" s="425" t="str">
        <x:f>'📊 BSC Completo'!I27</x:f>
        <x:v>CRÍTICO</x:v>
      </x:c>
      <x:c r="I7" s="468" t="str">
        <x:f>IF(H7="SIN DATOS","Registrar el resultado en BSC Completo.",IF(H7="CUMPLIDO","Meta alcanzada. Mantener el seguimiento.",IF(H7="REVISAR META","Revisar la meta y los datos de entrada.","Priorizar el siguiente lanzamiento de producto.")))</x:f>
        <x:v>Priorizar el siguiente lanzamiento de producto.</x:v>
      </x:c>
    </x:row>
    <x:row r="8" ht="42" customHeight="1">
      <x:c r="B8" s="493"/>
      <x:c r="C8" s="402" t="s">
        <x:v>44</x:v>
      </x:c>
      <x:c r="D8" s="401" t="s">
        <x:v>45</x:v>
      </x:c>
      <x:c r="E8" s="403" t="n">
        <x:f>'📊 BSC Completo'!F28</x:f>
        <x:v>12</x:v>
      </x:c>
      <x:c r="F8" s="403" t="n">
        <x:f>IF(ISNUMBER('📊 BSC Completo'!G28),'📊 BSC Completo'!G28,"")</x:f>
        <x:v>15</x:v>
      </x:c>
      <x:c r="G8" s="404" t="n">
        <x:f>IF(ISNUMBER('📊 BSC Completo'!H28),'📊 BSC Completo'!H28,"")</x:f>
        <x:v>0.8</x:v>
      </x:c>
      <x:c r="H8" s="401" t="str">
        <x:f>'📊 BSC Completo'!I28</x:f>
        <x:v>EN RIESGO</x:v>
      </x:c>
      <x:c r="I8" s="465" t="str">
        <x:f>IF(H8="SIN DATOS","Registrar el resultado en BSC Completo.",IF(H8="CUMPLIDO","Meta alcanzada. Mantener el seguimiento.",IF(H8="REVISAR META","Revisar la meta y los datos de entrada.","Mejorar la planificación y coordinación del lanzamiento.")))</x:f>
        <x:v>Mejorar la planificación y coordinación del lanzamiento.</x:v>
      </x:c>
    </x:row>
    <x:row r="9" ht="42" customHeight="1">
      <x:c r="B9" s="493"/>
      <x:c r="C9" s="424" t="s">
        <x:v>46</x:v>
      </x:c>
      <x:c r="D9" s="425" t="s">
        <x:v>10</x:v>
      </x:c>
      <x:c r="E9" s="426" t="n">
        <x:f>'📊 BSC Completo'!F29</x:f>
        <x:v>25</x:v>
      </x:c>
      <x:c r="F9" s="426" t="n">
        <x:f>IF(ISNUMBER('📊 BSC Completo'!G29),'📊 BSC Completo'!G29,"")</x:f>
        <x:v>18</x:v>
      </x:c>
      <x:c r="G9" s="427" t="n">
        <x:f>IF(ISNUMBER('📊 BSC Completo'!H29),'📊 BSC Completo'!H29,"")</x:f>
        <x:v>0.72</x:v>
      </x:c>
      <x:c r="H9" s="425" t="str">
        <x:f>'📊 BSC Completo'!I29</x:f>
        <x:v>CRÍTICO</x:v>
      </x:c>
      <x:c r="I9" s="468" t="str">
        <x:f>IF(H9="SIN DATOS","Registrar el resultado en BSC Completo.",IF(H9="CUMPLIDO","Meta alcanzada. Mantener el seguimiento.",IF(H9="REVISAR META","Revisar la meta y los datos de entrada.","Validar el mercado antes de desarrollar productos.")))</x:f>
        <x:v>Validar el mercado antes de desarrollar productos.</x:v>
      </x:c>
    </x:row>
    <x:row r="10" ht="4.5" customHeight="1">
      <x:c r="B10" s="400"/>
      <x:c r="C10" s="400"/>
      <x:c r="D10" s="400"/>
      <x:c r="E10" s="400"/>
      <x:c r="F10" s="400"/>
      <x:c r="G10" s="400"/>
      <x:c r="H10" s="400"/>
      <x:c r="I10" s="405"/>
    </x:row>
    <x:row r="11" ht="42" customHeight="1">
      <x:c r="B11" s="493" t="str">
        <x:v>Gestión Eficiente de Proveedores</x:v>
      </x:c>
      <x:c r="C11" s="402" t="s">
        <x:v>48</x:v>
      </x:c>
      <x:c r="D11" s="401" t="s">
        <x:v>10</x:v>
      </x:c>
      <x:c r="E11" s="403" t="n">
        <x:f>'📊 BSC Completo'!F30</x:f>
        <x:v>95</x:v>
      </x:c>
      <x:c r="F11" s="403" t="n">
        <x:f>IF(ISNUMBER('📊 BSC Completo'!G30),'📊 BSC Completo'!G30,"")</x:f>
        <x:v>92</x:v>
      </x:c>
      <x:c r="G11" s="404" t="n">
        <x:f>IF(ISNUMBER('📊 BSC Completo'!H30),'📊 BSC Completo'!H30,"")</x:f>
        <x:v>0.968421052631579</x:v>
      </x:c>
      <x:c r="H11" s="401" t="str">
        <x:f>'📊 BSC Completo'!I30</x:f>
        <x:v>EN RIESGO</x:v>
      </x:c>
      <x:c r="I11" s="465" t="str">
        <x:f>IF(H11="SIN DATOS","Registrar el resultado en BSC Completo.",IF(H11="CUMPLIDO","Meta alcanzada. Mantener el seguimiento.",IF(H11="REVISAR META","Revisar la meta y los datos de entrada.","Acordar niveles de servicio con proveedores críticos.")))</x:f>
        <x:v>Acordar niveles de servicio con proveedores críticos.</x:v>
      </x:c>
    </x:row>
    <x:row r="12" ht="42" customHeight="1">
      <x:c r="B12" s="493"/>
      <x:c r="C12" s="424" t="s">
        <x:v>49</x:v>
      </x:c>
      <x:c r="D12" s="425" t="s">
        <x:v>35</x:v>
      </x:c>
      <x:c r="E12" s="426" t="n">
        <x:f>'📊 BSC Completo'!F31</x:f>
        <x:v>5</x:v>
      </x:c>
      <x:c r="F12" s="426" t="n">
        <x:f>IF(ISNUMBER('📊 BSC Completo'!G31),'📊 BSC Completo'!G31,"")</x:f>
        <x:v>8</x:v>
      </x:c>
      <x:c r="G12" s="427" t="n">
        <x:f>IF(ISNUMBER('📊 BSC Completo'!H31),'📊 BSC Completo'!H31,"")</x:f>
        <x:v>0.625</x:v>
      </x:c>
      <x:c r="H12" s="425" t="str">
        <x:f>'📊 BSC Completo'!I31</x:f>
        <x:v>CRÍTICO</x:v>
      </x:c>
      <x:c r="I12" s="468" t="str">
        <x:f>IF(H12="SIN DATOS","Registrar el resultado en BSC Completo.",IF(H12="CUMPLIDO","Meta alcanzada. Mantener el seguimiento.",IF(H12="REVISAR META","Revisar la meta y los datos de entrada.","Evaluar mensualmente las incidencias de proveedores.")))</x:f>
        <x:v>Evaluar mensualmente las incidencias de proveedores.</x:v>
      </x:c>
    </x:row>
    <x:row r="13" ht="42" customHeight="1">
      <x:c r="B13" s="493"/>
      <x:c r="C13" s="402" t="s">
        <x:v>50</x:v>
      </x:c>
      <x:c r="D13" s="401" t="s">
        <x:v>10</x:v>
      </x:c>
      <x:c r="E13" s="403" t="n">
        <x:f>'📊 BSC Completo'!F32</x:f>
        <x:v>12</x:v>
      </x:c>
      <x:c r="F13" s="403" t="n">
        <x:f>IF(ISNUMBER('📊 BSC Completo'!G32),'📊 BSC Completo'!G32,"")</x:f>
        <x:v>14.5</x:v>
      </x:c>
      <x:c r="G13" s="404" t="n">
        <x:f>IF(ISNUMBER('📊 BSC Completo'!H32),'📊 BSC Completo'!H32,"")</x:f>
        <x:v>0.8275862068965517</x:v>
      </x:c>
      <x:c r="H13" s="401" t="str">
        <x:f>'📊 BSC Completo'!I32</x:f>
        <x:v>EN RIESGO</x:v>
      </x:c>
      <x:c r="I13" s="465" t="str">
        <x:f>IF(H13="SIN DATOS","Registrar el resultado en BSC Completo.",IF(H13="CUMPLIDO","Meta alcanzada. Mantener el seguimiento.",IF(H13="REVISAR META","Revisar la meta y los datos de entrada.","Reducir inventario inmovilizado y mejorar reposición.")))</x:f>
        <x:v>Reducir inventario inmovilizado y mejorar reposición.</x:v>
      </x:c>
    </x:row>
    <x:row r="14" ht="4.5" customHeight="1">
      <x:c r="B14" s="400"/>
      <x:c r="C14" s="400"/>
      <x:c r="D14" s="400"/>
      <x:c r="E14" s="400"/>
      <x:c r="F14" s="400"/>
      <x:c r="G14" s="400"/>
      <x:c r="H14" s="400"/>
      <x:c r="I14" s="400"/>
    </x:row>
    <x:row r="15">
      <x:c r="B15" s="400"/>
      <x:c r="C15" s="400"/>
      <x:c r="D15" s="400"/>
      <x:c r="E15" s="400"/>
      <x:c r="F15" s="400"/>
      <x:c r="G15" s="400"/>
      <x:c r="H15" s="400"/>
      <x:c r="I15" s="400"/>
    </x:row>
    <x:row r="16" ht="24" customHeight="1">
      <x:c r="B16" s="470" t="str">
        <x:v>Vista vinculada: Meta y Real se editan en BSC Completo. Unidades y sentido se conservan por indicador.</x:v>
      </x:c>
      <x:c r="C16" s="470"/>
      <x:c r="D16" s="470"/>
      <x:c r="E16" s="470"/>
      <x:c r="F16" s="470"/>
      <x:c r="G16" s="470"/>
      <x:c r="H16" s="470"/>
      <x:c r="I16" s="470"/>
    </x:row>
    <x:row r="17">
      <x:c r="B17" s="400"/>
      <x:c r="C17" s="400"/>
      <x:c r="D17" s="400"/>
      <x:c r="E17" s="400"/>
      <x:c r="F17" s="400"/>
      <x:c r="G17" s="400"/>
      <x:c r="H17" s="400"/>
      <x:c r="I17" s="400"/>
    </x:row>
    <x:row r="18" ht="30" customHeight="1">
      <x:c r="B18" s="471" t="str">
        <x:v>Edite Meta y Real solo en BSC Completo. Esta hoja se actualiza automáticamente.</x:v>
      </x:c>
      <x:c r="C18" s="471"/>
      <x:c r="D18" s="471"/>
      <x:c r="E18" s="471"/>
      <x:c r="F18" s="471"/>
      <x:c r="G18" s="471"/>
      <x:c r="H18" s="471"/>
      <x:c r="I18" s="471"/>
    </x:row>
  </x:sheetData>
  <x:mergeCells>
    <x:mergeCell ref="B1:I1"/>
    <x:mergeCell ref="B3:B5"/>
    <x:mergeCell ref="B7:B9"/>
    <x:mergeCell ref="B11:B13"/>
    <x:mergeCell ref="B16:I16"/>
    <x:mergeCell ref="B18:I18"/>
  </x:mergeCells>
  <x:conditionalFormatting sqref="G3:G3">
    <x:cfRule type="expression" dxfId="810" priority="55">
      <x:formula>AND(ISNUMBER(G3),G3&gt;=1)</x:formula>
    </x:cfRule>
    <x:cfRule type="expression" dxfId="811" priority="56">
      <x:formula>AND(ISNUMBER(G3),G3&gt;=0.8,G3&lt;1)</x:formula>
    </x:cfRule>
    <x:cfRule type="expression" dxfId="812" priority="57">
      <x:formula>AND(ISNUMBER(G3),G3&lt;0.8)</x:formula>
    </x:cfRule>
  </x:conditionalFormatting>
  <x:conditionalFormatting sqref="H3:H3">
    <x:cfRule type="expression" dxfId="813" priority="58">
      <x:formula>H3="CUMPLIDO"</x:formula>
    </x:cfRule>
    <x:cfRule type="expression" dxfId="814" priority="59">
      <x:formula>H3="EN RIESGO"</x:formula>
    </x:cfRule>
    <x:cfRule type="expression" dxfId="815" priority="60">
      <x:formula>H3="CRÍTICO"</x:formula>
    </x:cfRule>
  </x:conditionalFormatting>
  <x:conditionalFormatting sqref="G4:G4">
    <x:cfRule type="expression" dxfId="816" priority="61">
      <x:formula>AND(ISNUMBER(G4),G4&gt;=1)</x:formula>
    </x:cfRule>
    <x:cfRule type="expression" dxfId="817" priority="62">
      <x:formula>AND(ISNUMBER(G4),G4&gt;=0.8,G4&lt;1)</x:formula>
    </x:cfRule>
    <x:cfRule type="expression" dxfId="818" priority="63">
      <x:formula>AND(ISNUMBER(G4),G4&lt;0.8)</x:formula>
    </x:cfRule>
  </x:conditionalFormatting>
  <x:conditionalFormatting sqref="H4:H4">
    <x:cfRule type="expression" dxfId="819" priority="64">
      <x:formula>H4="CUMPLIDO"</x:formula>
    </x:cfRule>
    <x:cfRule type="expression" dxfId="820" priority="65">
      <x:formula>H4="EN RIESGO"</x:formula>
    </x:cfRule>
    <x:cfRule type="expression" dxfId="821" priority="66">
      <x:formula>H4="CRÍTICO"</x:formula>
    </x:cfRule>
  </x:conditionalFormatting>
  <x:conditionalFormatting sqref="G5:G5">
    <x:cfRule type="expression" dxfId="822" priority="67">
      <x:formula>AND(ISNUMBER(G5),G5&gt;=1)</x:formula>
    </x:cfRule>
    <x:cfRule type="expression" dxfId="823" priority="68">
      <x:formula>AND(ISNUMBER(G5),G5&gt;=0.8,G5&lt;1)</x:formula>
    </x:cfRule>
    <x:cfRule type="expression" dxfId="824" priority="69">
      <x:formula>AND(ISNUMBER(G5),G5&lt;0.8)</x:formula>
    </x:cfRule>
  </x:conditionalFormatting>
  <x:conditionalFormatting sqref="H5:H5">
    <x:cfRule type="expression" dxfId="825" priority="70">
      <x:formula>H5="CUMPLIDO"</x:formula>
    </x:cfRule>
    <x:cfRule type="expression" dxfId="826" priority="71">
      <x:formula>H5="EN RIESGO"</x:formula>
    </x:cfRule>
    <x:cfRule type="expression" dxfId="827" priority="72">
      <x:formula>H5="CRÍTICO"</x:formula>
    </x:cfRule>
  </x:conditionalFormatting>
  <x:conditionalFormatting sqref="G7:G7">
    <x:cfRule type="expression" dxfId="828" priority="73">
      <x:formula>AND(ISNUMBER(G7),G7&gt;=1)</x:formula>
    </x:cfRule>
    <x:cfRule type="expression" dxfId="829" priority="74">
      <x:formula>AND(ISNUMBER(G7),G7&gt;=0.8,G7&lt;1)</x:formula>
    </x:cfRule>
    <x:cfRule type="expression" dxfId="830" priority="75">
      <x:formula>AND(ISNUMBER(G7),G7&lt;0.8)</x:formula>
    </x:cfRule>
  </x:conditionalFormatting>
  <x:conditionalFormatting sqref="H7:H7">
    <x:cfRule type="expression" dxfId="831" priority="76">
      <x:formula>H7="CUMPLIDO"</x:formula>
    </x:cfRule>
    <x:cfRule type="expression" dxfId="832" priority="77">
      <x:formula>H7="EN RIESGO"</x:formula>
    </x:cfRule>
    <x:cfRule type="expression" dxfId="833" priority="78">
      <x:formula>H7="CRÍTICO"</x:formula>
    </x:cfRule>
  </x:conditionalFormatting>
  <x:conditionalFormatting sqref="G8:G8">
    <x:cfRule type="expression" dxfId="834" priority="79">
      <x:formula>AND(ISNUMBER(G8),G8&gt;=1)</x:formula>
    </x:cfRule>
    <x:cfRule type="expression" dxfId="835" priority="80">
      <x:formula>AND(ISNUMBER(G8),G8&gt;=0.8,G8&lt;1)</x:formula>
    </x:cfRule>
    <x:cfRule type="expression" dxfId="836" priority="81">
      <x:formula>AND(ISNUMBER(G8),G8&lt;0.8)</x:formula>
    </x:cfRule>
  </x:conditionalFormatting>
  <x:conditionalFormatting sqref="H8:H8">
    <x:cfRule type="expression" dxfId="837" priority="82">
      <x:formula>H8="CUMPLIDO"</x:formula>
    </x:cfRule>
    <x:cfRule type="expression" dxfId="838" priority="83">
      <x:formula>H8="EN RIESGO"</x:formula>
    </x:cfRule>
    <x:cfRule type="expression" dxfId="839" priority="84">
      <x:formula>H8="CRÍTICO"</x:formula>
    </x:cfRule>
  </x:conditionalFormatting>
  <x:conditionalFormatting sqref="G9:G9">
    <x:cfRule type="expression" dxfId="840" priority="85">
      <x:formula>AND(ISNUMBER(G9),G9&gt;=1)</x:formula>
    </x:cfRule>
    <x:cfRule type="expression" dxfId="841" priority="86">
      <x:formula>AND(ISNUMBER(G9),G9&gt;=0.8,G9&lt;1)</x:formula>
    </x:cfRule>
    <x:cfRule type="expression" dxfId="842" priority="87">
      <x:formula>AND(ISNUMBER(G9),G9&lt;0.8)</x:formula>
    </x:cfRule>
  </x:conditionalFormatting>
  <x:conditionalFormatting sqref="H9:H9">
    <x:cfRule type="expression" dxfId="843" priority="88">
      <x:formula>H9="CUMPLIDO"</x:formula>
    </x:cfRule>
    <x:cfRule type="expression" dxfId="844" priority="89">
      <x:formula>H9="EN RIESGO"</x:formula>
    </x:cfRule>
    <x:cfRule type="expression" dxfId="845" priority="90">
      <x:formula>H9="CRÍTICO"</x:formula>
    </x:cfRule>
  </x:conditionalFormatting>
  <x:conditionalFormatting sqref="G11:G11">
    <x:cfRule type="expression" dxfId="846" priority="91">
      <x:formula>AND(ISNUMBER(G11),G11&gt;=1)</x:formula>
    </x:cfRule>
    <x:cfRule type="expression" dxfId="847" priority="92">
      <x:formula>AND(ISNUMBER(G11),G11&gt;=0.8,G11&lt;1)</x:formula>
    </x:cfRule>
    <x:cfRule type="expression" dxfId="848" priority="93">
      <x:formula>AND(ISNUMBER(G11),G11&lt;0.8)</x:formula>
    </x:cfRule>
  </x:conditionalFormatting>
  <x:conditionalFormatting sqref="H11:H11">
    <x:cfRule type="expression" dxfId="849" priority="94">
      <x:formula>H11="CUMPLIDO"</x:formula>
    </x:cfRule>
    <x:cfRule type="expression" dxfId="850" priority="95">
      <x:formula>H11="EN RIESGO"</x:formula>
    </x:cfRule>
    <x:cfRule type="expression" dxfId="851" priority="96">
      <x:formula>H11="CRÍTICO"</x:formula>
    </x:cfRule>
  </x:conditionalFormatting>
  <x:conditionalFormatting sqref="G12:G12">
    <x:cfRule type="expression" dxfId="852" priority="97">
      <x:formula>AND(ISNUMBER(G12),G12&gt;=1)</x:formula>
    </x:cfRule>
    <x:cfRule type="expression" dxfId="853" priority="98">
      <x:formula>AND(ISNUMBER(G12),G12&gt;=0.8,G12&lt;1)</x:formula>
    </x:cfRule>
    <x:cfRule type="expression" dxfId="854" priority="99">
      <x:formula>AND(ISNUMBER(G12),G12&lt;0.8)</x:formula>
    </x:cfRule>
  </x:conditionalFormatting>
  <x:conditionalFormatting sqref="H12:H12">
    <x:cfRule type="expression" dxfId="855" priority="100">
      <x:formula>H12="CUMPLIDO"</x:formula>
    </x:cfRule>
    <x:cfRule type="expression" dxfId="856" priority="101">
      <x:formula>H12="EN RIESGO"</x:formula>
    </x:cfRule>
    <x:cfRule type="expression" dxfId="857" priority="102">
      <x:formula>H12="CRÍTICO"</x:formula>
    </x:cfRule>
  </x:conditionalFormatting>
  <x:conditionalFormatting sqref="G13:G13">
    <x:cfRule type="expression" dxfId="858" priority="103">
      <x:formula>AND(ISNUMBER(G13),G13&gt;=1)</x:formula>
    </x:cfRule>
    <x:cfRule type="expression" dxfId="859" priority="104">
      <x:formula>AND(ISNUMBER(G13),G13&gt;=0.8,G13&lt;1)</x:formula>
    </x:cfRule>
    <x:cfRule type="expression" dxfId="860" priority="105">
      <x:formula>AND(ISNUMBER(G13),G13&lt;0.8)</x:formula>
    </x:cfRule>
  </x:conditionalFormatting>
  <x:conditionalFormatting sqref="H13:H13">
    <x:cfRule type="expression" dxfId="861" priority="106">
      <x:formula>H13="CUMPLIDO"</x:formula>
    </x:cfRule>
    <x:cfRule type="expression" dxfId="862" priority="107">
      <x:formula>H13="EN RIESGO"</x:formula>
    </x:cfRule>
    <x:cfRule type="expression" dxfId="863" priority="108">
      <x:formula>H13="CRÍTICO"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796297"/>
  </x:sheetPr>
  <x:sheetViews>
    <x:sheetView showGridLines="0" workbookViewId="0">
      <x:pane ySplit="2" topLeftCell="A3" activePane="bottomLeft" state="frozen"/>
    </x:sheetView>
  </x:sheetViews>
  <x:sheetFormatPr baseColWidth="10" defaultColWidth="8.6640625" defaultRowHeight="15"/>
  <x:cols>
    <x:col min="1" max="1" width="3" hidden="0" customWidth="1"/>
    <x:col min="2" max="2" width="34" hidden="0" customWidth="1"/>
    <x:col min="3" max="3" width="45" hidden="0" customWidth="1"/>
    <x:col min="4" max="4" width="10" hidden="0" customWidth="1"/>
    <x:col min="5" max="6" width="13" customWidth="1"/>
    <x:col min="7" max="7" width="14" hidden="0" customWidth="1"/>
    <x:col min="8" max="8" width="17" hidden="0" customWidth="1"/>
    <x:col min="9" max="9" width="60" hidden="0" customWidth="1"/>
    <x:col min="5" max="5" width="13" hidden="0" customWidth="1"/>
    <x:col min="6" max="6" width="13" hidden="0" customWidth="1"/>
  </x:cols>
  <x:sheetData>
    <x:row r="1" ht="44" customHeight="1">
      <x:c r="B1" s="408" t="str">
        <x:v>TechPeru / Aprendizaje / 2025</x:v>
      </x:c>
      <x:c r="C1" s="408"/>
      <x:c r="D1" s="408"/>
      <x:c r="E1" s="408"/>
      <x:c r="F1" s="408"/>
      <x:c r="G1" s="408"/>
      <x:c r="H1" s="408"/>
      <x:c r="I1" s="408"/>
    </x:row>
    <x:row r="2" ht="32" customHeight="1">
      <x:c r="B2" s="439" t="s">
        <x:v>1</x:v>
      </x:c>
      <x:c r="C2" s="439" t="s">
        <x:v>2</x:v>
      </x:c>
      <x:c r="D2" s="439" t="s">
        <x:v>3</x:v>
      </x:c>
      <x:c r="E2" s="439" t="s">
        <x:v>64</x:v>
      </x:c>
      <x:c r="F2" s="439" t="s">
        <x:v>65</x:v>
      </x:c>
      <x:c r="G2" s="439" t="s">
        <x:v>6</x:v>
      </x:c>
      <x:c r="H2" s="439" t="s">
        <x:v>7</x:v>
      </x:c>
      <x:c r="I2" s="439" t="s">
        <x:v>66</x:v>
      </x:c>
    </x:row>
    <x:row r="3" ht="42" customHeight="1">
      <x:c r="B3" s="504" t="str">
        <x:v>Desarrollar el Capital Humano</x:v>
      </x:c>
      <x:c r="C3" s="402" t="s">
        <x:v>52</x:v>
      </x:c>
      <x:c r="D3" s="401" t="s">
        <x:v>53</x:v>
      </x:c>
      <x:c r="E3" s="403" t="n">
        <x:f>'📊 BSC Completo'!F34</x:f>
        <x:v>40</x:v>
      </x:c>
      <x:c r="F3" s="403" t="n">
        <x:f>IF(ISNUMBER('📊 BSC Completo'!G34),'📊 BSC Completo'!G34,"")</x:f>
        <x:v>35</x:v>
      </x:c>
      <x:c r="G3" s="404" t="n">
        <x:f>IF(ISNUMBER('📊 BSC Completo'!H34),'📊 BSC Completo'!H34,"")</x:f>
        <x:v>0.875</x:v>
      </x:c>
      <x:c r="H3" s="401" t="str">
        <x:f>'📊 BSC Completo'!I34</x:f>
        <x:v>EN RIESGO</x:v>
      </x:c>
      <x:c r="I3" s="465" t="str">
        <x:f>IF(H3="SIN DATOS","Registrar el resultado en BSC Completo.",IF(H3="CUMPLIDO","Meta alcanzada. Mantener el seguimiento.",IF(H3="REVISAR META","Revisar la meta y los datos de entrada.","Programar sesiones de capacitación adicionales.")))</x:f>
        <x:v>Programar sesiones de capacitación adicionales.</x:v>
      </x:c>
    </x:row>
    <x:row r="4" ht="42" customHeight="1">
      <x:c r="B4" s="504"/>
      <x:c r="C4" s="424" t="s">
        <x:v>54</x:v>
      </x:c>
      <x:c r="D4" s="425" t="s">
        <x:v>10</x:v>
      </x:c>
      <x:c r="E4" s="426" t="n">
        <x:f>'📊 BSC Completo'!F35</x:f>
        <x:v>80</x:v>
      </x:c>
      <x:c r="F4" s="426" t="n">
        <x:f>IF(ISNUMBER('📊 BSC Completo'!G35),'📊 BSC Completo'!G35,"")</x:f>
        <x:v>72</x:v>
      </x:c>
      <x:c r="G4" s="427" t="n">
        <x:f>IF(ISNUMBER('📊 BSC Completo'!H35),'📊 BSC Completo'!H35,"")</x:f>
        <x:v>0.9</x:v>
      </x:c>
      <x:c r="H4" s="425" t="str">
        <x:f>'📊 BSC Completo'!I35</x:f>
        <x:v>EN RIESGO</x:v>
      </x:c>
      <x:c r="I4" s="468" t="str">
        <x:f>IF(H4="SIN DATOS","Registrar el resultado en BSC Completo.",IF(H4="CUMPLIDO","Meta alcanzada. Mantener el seguimiento.",IF(H4="REVISAR META","Revisar la meta y los datos de entrada.","Completar los planes de desarrollo individuales.")))</x:f>
        <x:v>Completar los planes de desarrollo individuales.</x:v>
      </x:c>
    </x:row>
    <x:row r="5" ht="42" customHeight="1">
      <x:c r="B5" s="504"/>
      <x:c r="C5" s="402" t="s">
        <x:v>55</x:v>
      </x:c>
      <x:c r="D5" s="401" t="s">
        <x:v>10</x:v>
      </x:c>
      <x:c r="E5" s="403" t="n">
        <x:f>'📊 BSC Completo'!F36</x:f>
        <x:v>85</x:v>
      </x:c>
      <x:c r="F5" s="403" t="n">
        <x:f>IF(ISNUMBER('📊 BSC Completo'!G36),'📊 BSC Completo'!G36,"")</x:f>
        <x:v>74</x:v>
      </x:c>
      <x:c r="G5" s="404" t="n">
        <x:f>IF(ISNUMBER('📊 BSC Completo'!H36),'📊 BSC Completo'!H36,"")</x:f>
        <x:v>0.8705882352941177</x:v>
      </x:c>
      <x:c r="H5" s="401" t="str">
        <x:f>'📊 BSC Completo'!I36</x:f>
        <x:v>EN RIESGO</x:v>
      </x:c>
      <x:c r="I5" s="465" t="str">
        <x:f>IF(H5="SIN DATOS","Registrar el resultado en BSC Completo.",IF(H5="CUMPLIDO","Meta alcanzada. Mantener el seguimiento.",IF(H5="REVISAR META","Revisar la meta y los datos de entrada.","Identificar y cerrar brechas de competencias por área.")))</x:f>
        <x:v>Identificar y cerrar brechas de competencias por área.</x:v>
      </x:c>
    </x:row>
    <x:row r="6" ht="4.5" customHeight="1">
      <x:c r="B6" s="400"/>
      <x:c r="C6" s="400"/>
      <x:c r="D6" s="400"/>
      <x:c r="E6" s="400"/>
      <x:c r="F6" s="400"/>
      <x:c r="G6" s="400"/>
      <x:c r="H6" s="400"/>
      <x:c r="I6" s="405"/>
    </x:row>
    <x:row r="7" ht="42" customHeight="1">
      <x:c r="B7" s="504" t="str">
        <x:v>Fortalecer la Cultura y el Clima</x:v>
      </x:c>
      <x:c r="C7" s="424" t="s">
        <x:v>57</x:v>
      </x:c>
      <x:c r="D7" s="425" t="s">
        <x:v>10</x:v>
      </x:c>
      <x:c r="E7" s="426" t="n">
        <x:f>'📊 BSC Completo'!F37</x:f>
        <x:v>75</x:v>
      </x:c>
      <x:c r="F7" s="426" t="n">
        <x:f>IF(ISNUMBER('📊 BSC Completo'!G37),'📊 BSC Completo'!G37,"")</x:f>
        <x:v>68</x:v>
      </x:c>
      <x:c r="G7" s="427" t="n">
        <x:f>IF(ISNUMBER('📊 BSC Completo'!H37),'📊 BSC Completo'!H37,"")</x:f>
        <x:v>0.9066666666666666</x:v>
      </x:c>
      <x:c r="H7" s="425" t="str">
        <x:f>'📊 BSC Completo'!I37</x:f>
        <x:v>EN RIESGO</x:v>
      </x:c>
      <x:c r="I7" s="468" t="str">
        <x:f>IF(H7="SIN DATOS","Registrar el resultado en BSC Completo.",IF(H7="CUMPLIDO","Meta alcanzada. Mantener el seguimiento.",IF(H7="REVISAR META","Revisar la meta y los datos de entrada.","Realizar encuestas de clima y ejecutar un plan de mejora.")))</x:f>
        <x:v>Realizar encuestas de clima y ejecutar un plan de mejora.</x:v>
      </x:c>
    </x:row>
    <x:row r="8" ht="42" customHeight="1">
      <x:c r="B8" s="504"/>
      <x:c r="C8" s="402" t="s">
        <x:v>58</x:v>
      </x:c>
      <x:c r="D8" s="401" t="s">
        <x:v>10</x:v>
      </x:c>
      <x:c r="E8" s="403" t="n">
        <x:f>'📊 BSC Completo'!F38</x:f>
        <x:v>8</x:v>
      </x:c>
      <x:c r="F8" s="403" t="n">
        <x:f>IF(ISNUMBER('📊 BSC Completo'!G38),'📊 BSC Completo'!G38,"")</x:f>
        <x:v>10</x:v>
      </x:c>
      <x:c r="G8" s="404" t="n">
        <x:f>IF(ISNUMBER('📊 BSC Completo'!H38),'📊 BSC Completo'!H38,"")</x:f>
        <x:v>0.8</x:v>
      </x:c>
      <x:c r="H8" s="401" t="str">
        <x:f>'📊 BSC Completo'!I38</x:f>
        <x:v>EN RIESGO</x:v>
      </x:c>
      <x:c r="I8" s="465" t="str">
        <x:f>IF(H8="SIN DATOS","Registrar el resultado en BSC Completo.",IF(H8="CUMPLIDO","Meta alcanzada. Mantener el seguimiento.",IF(H8="REVISAR META","Revisar la meta y los datos de entrada.","Revisar compensación y oportunidades de crecimiento.")))</x:f>
        <x:v>Revisar compensación y oportunidades de crecimiento.</x:v>
      </x:c>
    </x:row>
    <x:row r="9" ht="42" customHeight="1">
      <x:c r="B9" s="504"/>
      <x:c r="C9" s="424" t="s">
        <x:v>59</x:v>
      </x:c>
      <x:c r="D9" s="425" t="s">
        <x:v>10</x:v>
      </x:c>
      <x:c r="E9" s="426" t="n">
        <x:f>'📊 BSC Completo'!F39</x:f>
        <x:v>95</x:v>
      </x:c>
      <x:c r="F9" s="426" t="n">
        <x:f>IF(ISNUMBER('📊 BSC Completo'!G39),'📊 BSC Completo'!G39,"")</x:f>
        <x:v>88</x:v>
      </x:c>
      <x:c r="G9" s="427" t="n">
        <x:f>IF(ISNUMBER('📊 BSC Completo'!H39),'📊 BSC Completo'!H39,"")</x:f>
        <x:v>0.9263157894736842</x:v>
      </x:c>
      <x:c r="H9" s="425" t="str">
        <x:f>'📊 BSC Completo'!I39</x:f>
        <x:v>EN RIESGO</x:v>
      </x:c>
      <x:c r="I9" s="468" t="str">
        <x:f>IF(H9="SIN DATOS","Registrar el resultado en BSC Completo.",IF(H9="CUMPLIDO","Meta alcanzada. Mantener el seguimiento.",IF(H9="REVISAR META","Revisar la meta y los datos de entrada.","Completar las evaluaciones de desempeño pendientes.")))</x:f>
        <x:v>Completar las evaluaciones de desempeño pendientes.</x:v>
      </x:c>
    </x:row>
    <x:row r="10" ht="4.5" customHeight="1">
      <x:c r="B10" s="400"/>
      <x:c r="C10" s="400"/>
      <x:c r="D10" s="400"/>
      <x:c r="E10" s="400"/>
      <x:c r="F10" s="400"/>
      <x:c r="G10" s="400"/>
      <x:c r="H10" s="400"/>
      <x:c r="I10" s="405"/>
    </x:row>
    <x:row r="11" ht="42" customHeight="1">
      <x:c r="B11" s="504" t="str">
        <x:v>Impulsar la Innovación Organizacional</x:v>
      </x:c>
      <x:c r="C11" s="402" t="s">
        <x:v>61</x:v>
      </x:c>
      <x:c r="D11" s="401" t="s">
        <x:v>35</x:v>
      </x:c>
      <x:c r="E11" s="403" t="n">
        <x:f>'📊 BSC Completo'!F40</x:f>
        <x:v>6</x:v>
      </x:c>
      <x:c r="F11" s="403" t="n">
        <x:f>IF(ISNUMBER('📊 BSC Completo'!G40),'📊 BSC Completo'!G40,"")</x:f>
        <x:v>5</x:v>
      </x:c>
      <x:c r="G11" s="404" t="n">
        <x:f>IF(ISNUMBER('📊 BSC Completo'!H40),'📊 BSC Completo'!H40,"")</x:f>
        <x:v>0.8333333333333334</x:v>
      </x:c>
      <x:c r="H11" s="401" t="str">
        <x:f>'📊 BSC Completo'!I40</x:f>
        <x:v>EN RIESGO</x:v>
      </x:c>
      <x:c r="I11" s="465" t="str">
        <x:f>IF(H11="SIN DATOS","Registrar el resultado en BSC Completo.",IF(H11="CUMPLIDO","Meta alcanzada. Mantener el seguimiento.",IF(H11="REVISAR META","Revisar la meta y los datos de entrada.","Asignar equipos a los proyectos de mejora continua.")))</x:f>
        <x:v>Asignar equipos a los proyectos de mejora continua.</x:v>
      </x:c>
    </x:row>
    <x:row r="12" ht="42" customHeight="1">
      <x:c r="B12" s="504"/>
      <x:c r="C12" s="424" t="s">
        <x:v>62</x:v>
      </x:c>
      <x:c r="D12" s="425" t="s">
        <x:v>10</x:v>
      </x:c>
      <x:c r="E12" s="426" t="n">
        <x:f>'📊 BSC Completo'!F41</x:f>
        <x:v>5</x:v>
      </x:c>
      <x:c r="F12" s="426" t="n">
        <x:f>IF(ISNUMBER('📊 BSC Completo'!G41),'📊 BSC Completo'!G41,"")</x:f>
        <x:v>3.8</x:v>
      </x:c>
      <x:c r="G12" s="427" t="n">
        <x:f>IF(ISNUMBER('📊 BSC Completo'!H41),'📊 BSC Completo'!H41,"")</x:f>
        <x:v>0.76</x:v>
      </x:c>
      <x:c r="H12" s="425" t="str">
        <x:f>'📊 BSC Completo'!I41</x:f>
        <x:v>CRÍTICO</x:v>
      </x:c>
      <x:c r="I12" s="468" t="str">
        <x:f>IF(H12="SIN DATOS","Registrar el resultado en BSC Completo.",IF(H12="CUMPLIDO","Meta alcanzada. Mantener el seguimiento.",IF(H12="REVISAR META","Revisar la meta y los datos de entrada.","Evaluar la asignación de presupuesto para investigación.")))</x:f>
        <x:v>Evaluar la asignación de presupuesto para investigación.</x:v>
      </x:c>
    </x:row>
    <x:row r="13" ht="42" customHeight="1">
      <x:c r="B13" s="504"/>
      <x:c r="C13" s="402" t="s">
        <x:v>63</x:v>
      </x:c>
      <x:c r="D13" s="401" t="s">
        <x:v>35</x:v>
      </x:c>
      <x:c r="E13" s="403" t="n">
        <x:f>'📊 BSC Completo'!F42</x:f>
        <x:v>24</x:v>
      </x:c>
      <x:c r="F13" s="403" t="n">
        <x:f>IF(ISNUMBER('📊 BSC Completo'!G42),'📊 BSC Completo'!G42,"")</x:f>
        <x:v>16</x:v>
      </x:c>
      <x:c r="G13" s="404" t="n">
        <x:f>IF(ISNUMBER('📊 BSC Completo'!H42),'📊 BSC Completo'!H42,"")</x:f>
        <x:v>0.6666666666666666</x:v>
      </x:c>
      <x:c r="H13" s="401" t="str">
        <x:f>'📊 BSC Completo'!I42</x:f>
        <x:v>CRÍTICO</x:v>
      </x:c>
      <x:c r="I13" s="465" t="str">
        <x:f>IF(H13="SIN DATOS","Registrar el resultado en BSC Completo.",IF(H13="CUMPLIDO","Meta alcanzada. Mantener el seguimiento.",IF(H13="REVISAR META","Revisar la meta y los datos de entrada.","Implementar y dar seguimiento a las ideas del personal.")))</x:f>
        <x:v>Implementar y dar seguimiento a las ideas del personal.</x:v>
      </x:c>
    </x:row>
    <x:row r="14" ht="4.5" customHeight="1">
      <x:c r="B14" s="400"/>
      <x:c r="C14" s="400"/>
      <x:c r="D14" s="400"/>
      <x:c r="E14" s="400"/>
      <x:c r="F14" s="400"/>
      <x:c r="G14" s="400"/>
      <x:c r="H14" s="400"/>
      <x:c r="I14" s="400"/>
    </x:row>
    <x:row r="15">
      <x:c r="B15" s="400"/>
      <x:c r="C15" s="400"/>
      <x:c r="D15" s="400"/>
      <x:c r="E15" s="400"/>
      <x:c r="F15" s="400"/>
      <x:c r="G15" s="400"/>
      <x:c r="H15" s="400"/>
      <x:c r="I15" s="400"/>
    </x:row>
    <x:row r="16" ht="24" customHeight="1">
      <x:c r="B16" s="470" t="str">
        <x:v>Vista vinculada: Meta y Real se editan en BSC Completo. Unidades y sentido se conservan por indicador.</x:v>
      </x:c>
      <x:c r="C16" s="470"/>
      <x:c r="D16" s="470"/>
      <x:c r="E16" s="470"/>
      <x:c r="F16" s="470"/>
      <x:c r="G16" s="470"/>
      <x:c r="H16" s="470"/>
      <x:c r="I16" s="470"/>
    </x:row>
    <x:row r="17">
      <x:c r="B17" s="400"/>
      <x:c r="C17" s="400"/>
      <x:c r="D17" s="400"/>
      <x:c r="E17" s="400"/>
      <x:c r="F17" s="400"/>
      <x:c r="G17" s="400"/>
      <x:c r="H17" s="400"/>
      <x:c r="I17" s="400"/>
    </x:row>
    <x:row r="18" ht="30" customHeight="1">
      <x:c r="B18" s="471" t="str">
        <x:v>Edite Meta y Real solo en BSC Completo. Esta hoja se actualiza automáticamente.</x:v>
      </x:c>
      <x:c r="C18" s="471"/>
      <x:c r="D18" s="471"/>
      <x:c r="E18" s="471"/>
      <x:c r="F18" s="471"/>
      <x:c r="G18" s="471"/>
      <x:c r="H18" s="471"/>
      <x:c r="I18" s="471"/>
    </x:row>
  </x:sheetData>
  <x:mergeCells>
    <x:mergeCell ref="B1:I1"/>
    <x:mergeCell ref="B3:B5"/>
    <x:mergeCell ref="B7:B9"/>
    <x:mergeCell ref="B11:B13"/>
    <x:mergeCell ref="B16:I16"/>
    <x:mergeCell ref="B18:I18"/>
  </x:mergeCells>
  <x:conditionalFormatting sqref="G3:G3">
    <x:cfRule type="expression" dxfId="864" priority="55">
      <x:formula>AND(ISNUMBER(G3),G3&gt;=1)</x:formula>
    </x:cfRule>
    <x:cfRule type="expression" dxfId="865" priority="56">
      <x:formula>AND(ISNUMBER(G3),G3&gt;=0.8,G3&lt;1)</x:formula>
    </x:cfRule>
    <x:cfRule type="expression" dxfId="866" priority="57">
      <x:formula>AND(ISNUMBER(G3),G3&lt;0.8)</x:formula>
    </x:cfRule>
  </x:conditionalFormatting>
  <x:conditionalFormatting sqref="H3:H3">
    <x:cfRule type="expression" dxfId="867" priority="58">
      <x:formula>H3="CUMPLIDO"</x:formula>
    </x:cfRule>
    <x:cfRule type="expression" dxfId="868" priority="59">
      <x:formula>H3="EN RIESGO"</x:formula>
    </x:cfRule>
    <x:cfRule type="expression" dxfId="869" priority="60">
      <x:formula>H3="CRÍTICO"</x:formula>
    </x:cfRule>
  </x:conditionalFormatting>
  <x:conditionalFormatting sqref="G4:G4">
    <x:cfRule type="expression" dxfId="870" priority="61">
      <x:formula>AND(ISNUMBER(G4),G4&gt;=1)</x:formula>
    </x:cfRule>
    <x:cfRule type="expression" dxfId="871" priority="62">
      <x:formula>AND(ISNUMBER(G4),G4&gt;=0.8,G4&lt;1)</x:formula>
    </x:cfRule>
    <x:cfRule type="expression" dxfId="872" priority="63">
      <x:formula>AND(ISNUMBER(G4),G4&lt;0.8)</x:formula>
    </x:cfRule>
  </x:conditionalFormatting>
  <x:conditionalFormatting sqref="H4:H4">
    <x:cfRule type="expression" dxfId="873" priority="64">
      <x:formula>H4="CUMPLIDO"</x:formula>
    </x:cfRule>
    <x:cfRule type="expression" dxfId="874" priority="65">
      <x:formula>H4="EN RIESGO"</x:formula>
    </x:cfRule>
    <x:cfRule type="expression" dxfId="875" priority="66">
      <x:formula>H4="CRÍTICO"</x:formula>
    </x:cfRule>
  </x:conditionalFormatting>
  <x:conditionalFormatting sqref="G5:G5">
    <x:cfRule type="expression" dxfId="876" priority="67">
      <x:formula>AND(ISNUMBER(G5),G5&gt;=1)</x:formula>
    </x:cfRule>
    <x:cfRule type="expression" dxfId="877" priority="68">
      <x:formula>AND(ISNUMBER(G5),G5&gt;=0.8,G5&lt;1)</x:formula>
    </x:cfRule>
    <x:cfRule type="expression" dxfId="878" priority="69">
      <x:formula>AND(ISNUMBER(G5),G5&lt;0.8)</x:formula>
    </x:cfRule>
  </x:conditionalFormatting>
  <x:conditionalFormatting sqref="H5:H5">
    <x:cfRule type="expression" dxfId="879" priority="70">
      <x:formula>H5="CUMPLIDO"</x:formula>
    </x:cfRule>
    <x:cfRule type="expression" dxfId="880" priority="71">
      <x:formula>H5="EN RIESGO"</x:formula>
    </x:cfRule>
    <x:cfRule type="expression" dxfId="881" priority="72">
      <x:formula>H5="CRÍTICO"</x:formula>
    </x:cfRule>
  </x:conditionalFormatting>
  <x:conditionalFormatting sqref="G7:G7">
    <x:cfRule type="expression" dxfId="882" priority="73">
      <x:formula>AND(ISNUMBER(G7),G7&gt;=1)</x:formula>
    </x:cfRule>
    <x:cfRule type="expression" dxfId="883" priority="74">
      <x:formula>AND(ISNUMBER(G7),G7&gt;=0.8,G7&lt;1)</x:formula>
    </x:cfRule>
    <x:cfRule type="expression" dxfId="884" priority="75">
      <x:formula>AND(ISNUMBER(G7),G7&lt;0.8)</x:formula>
    </x:cfRule>
  </x:conditionalFormatting>
  <x:conditionalFormatting sqref="H7:H7">
    <x:cfRule type="expression" dxfId="885" priority="76">
      <x:formula>H7="CUMPLIDO"</x:formula>
    </x:cfRule>
    <x:cfRule type="expression" dxfId="886" priority="77">
      <x:formula>H7="EN RIESGO"</x:formula>
    </x:cfRule>
    <x:cfRule type="expression" dxfId="887" priority="78">
      <x:formula>H7="CRÍTICO"</x:formula>
    </x:cfRule>
  </x:conditionalFormatting>
  <x:conditionalFormatting sqref="G8:G8">
    <x:cfRule type="expression" dxfId="888" priority="79">
      <x:formula>AND(ISNUMBER(G8),G8&gt;=1)</x:formula>
    </x:cfRule>
    <x:cfRule type="expression" dxfId="889" priority="80">
      <x:formula>AND(ISNUMBER(G8),G8&gt;=0.8,G8&lt;1)</x:formula>
    </x:cfRule>
    <x:cfRule type="expression" dxfId="890" priority="81">
      <x:formula>AND(ISNUMBER(G8),G8&lt;0.8)</x:formula>
    </x:cfRule>
  </x:conditionalFormatting>
  <x:conditionalFormatting sqref="H8:H8">
    <x:cfRule type="expression" dxfId="891" priority="82">
      <x:formula>H8="CUMPLIDO"</x:formula>
    </x:cfRule>
    <x:cfRule type="expression" dxfId="892" priority="83">
      <x:formula>H8="EN RIESGO"</x:formula>
    </x:cfRule>
    <x:cfRule type="expression" dxfId="893" priority="84">
      <x:formula>H8="CRÍTICO"</x:formula>
    </x:cfRule>
  </x:conditionalFormatting>
  <x:conditionalFormatting sqref="G9:G9">
    <x:cfRule type="expression" dxfId="894" priority="85">
      <x:formula>AND(ISNUMBER(G9),G9&gt;=1)</x:formula>
    </x:cfRule>
    <x:cfRule type="expression" dxfId="895" priority="86">
      <x:formula>AND(ISNUMBER(G9),G9&gt;=0.8,G9&lt;1)</x:formula>
    </x:cfRule>
    <x:cfRule type="expression" dxfId="896" priority="87">
      <x:formula>AND(ISNUMBER(G9),G9&lt;0.8)</x:formula>
    </x:cfRule>
  </x:conditionalFormatting>
  <x:conditionalFormatting sqref="H9:H9">
    <x:cfRule type="expression" dxfId="897" priority="88">
      <x:formula>H9="CUMPLIDO"</x:formula>
    </x:cfRule>
    <x:cfRule type="expression" dxfId="898" priority="89">
      <x:formula>H9="EN RIESGO"</x:formula>
    </x:cfRule>
    <x:cfRule type="expression" dxfId="899" priority="90">
      <x:formula>H9="CRÍTICO"</x:formula>
    </x:cfRule>
  </x:conditionalFormatting>
  <x:conditionalFormatting sqref="G11:G11">
    <x:cfRule type="expression" dxfId="900" priority="91">
      <x:formula>AND(ISNUMBER(G11),G11&gt;=1)</x:formula>
    </x:cfRule>
    <x:cfRule type="expression" dxfId="901" priority="92">
      <x:formula>AND(ISNUMBER(G11),G11&gt;=0.8,G11&lt;1)</x:formula>
    </x:cfRule>
    <x:cfRule type="expression" dxfId="902" priority="93">
      <x:formula>AND(ISNUMBER(G11),G11&lt;0.8)</x:formula>
    </x:cfRule>
  </x:conditionalFormatting>
  <x:conditionalFormatting sqref="H11:H11">
    <x:cfRule type="expression" dxfId="903" priority="94">
      <x:formula>H11="CUMPLIDO"</x:formula>
    </x:cfRule>
    <x:cfRule type="expression" dxfId="904" priority="95">
      <x:formula>H11="EN RIESGO"</x:formula>
    </x:cfRule>
    <x:cfRule type="expression" dxfId="905" priority="96">
      <x:formula>H11="CRÍTICO"</x:formula>
    </x:cfRule>
  </x:conditionalFormatting>
  <x:conditionalFormatting sqref="G12:G12">
    <x:cfRule type="expression" dxfId="906" priority="97">
      <x:formula>AND(ISNUMBER(G12),G12&gt;=1)</x:formula>
    </x:cfRule>
    <x:cfRule type="expression" dxfId="907" priority="98">
      <x:formula>AND(ISNUMBER(G12),G12&gt;=0.8,G12&lt;1)</x:formula>
    </x:cfRule>
    <x:cfRule type="expression" dxfId="908" priority="99">
      <x:formula>AND(ISNUMBER(G12),G12&lt;0.8)</x:formula>
    </x:cfRule>
  </x:conditionalFormatting>
  <x:conditionalFormatting sqref="H12:H12">
    <x:cfRule type="expression" dxfId="909" priority="100">
      <x:formula>H12="CUMPLIDO"</x:formula>
    </x:cfRule>
    <x:cfRule type="expression" dxfId="910" priority="101">
      <x:formula>H12="EN RIESGO"</x:formula>
    </x:cfRule>
    <x:cfRule type="expression" dxfId="911" priority="102">
      <x:formula>H12="CRÍTICO"</x:formula>
    </x:cfRule>
  </x:conditionalFormatting>
  <x:conditionalFormatting sqref="G13:G13">
    <x:cfRule type="expression" dxfId="912" priority="103">
      <x:formula>AND(ISNUMBER(G13),G13&gt;=1)</x:formula>
    </x:cfRule>
    <x:cfRule type="expression" dxfId="913" priority="104">
      <x:formula>AND(ISNUMBER(G13),G13&gt;=0.8,G13&lt;1)</x:formula>
    </x:cfRule>
    <x:cfRule type="expression" dxfId="914" priority="105">
      <x:formula>AND(ISNUMBER(G13),G13&lt;0.8)</x:formula>
    </x:cfRule>
  </x:conditionalFormatting>
  <x:conditionalFormatting sqref="H13:H13">
    <x:cfRule type="expression" dxfId="915" priority="106">
      <x:formula>H13="CUMPLIDO"</x:formula>
    </x:cfRule>
    <x:cfRule type="expression" dxfId="916" priority="107">
      <x:formula>H13="EN RIESGO"</x:formula>
    </x:cfRule>
    <x:cfRule type="expression" dxfId="917" priority="108">
      <x:formula>H13="CRÍTICO"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83C35"/>
  </x:sheetPr>
  <x:sheetViews>
    <x:sheetView showGridLines="0" workbookViewId="0">
      <x:pane ySplit="3" topLeftCell="A4" activePane="bottomLeft" state="frozen"/>
    </x:sheetView>
  </x:sheetViews>
  <x:sheetFormatPr baseColWidth="10" defaultColWidth="8.6640625" defaultRowHeight="15"/>
  <x:cols>
    <x:col min="1" max="1" width="3" hidden="0" customWidth="1"/>
    <x:col min="2" max="2" width="34" hidden="0" customWidth="1"/>
    <x:col min="3" max="8" width="13" customWidth="1"/>
    <x:col min="9" max="9" width="13" hidden="0" customWidth="1"/>
    <x:col min="3" max="3" width="17" hidden="0" customWidth="1"/>
    <x:col min="4" max="4" width="13" hidden="0" customWidth="1"/>
    <x:col min="5" max="5" width="12" hidden="0" customWidth="1"/>
    <x:col min="6" max="6" width="4" hidden="0" customWidth="1"/>
    <x:col min="7" max="7" width="16" hidden="0" customWidth="1"/>
    <x:col min="8" max="8" width="13" hidden="0" customWidth="1"/>
    <x:col min="10" max="10" width="4" hidden="0" customWidth="1"/>
    <x:col min="11" max="11" width="13" hidden="0" customWidth="1"/>
    <x:col min="12" max="12" width="13" hidden="0" customWidth="1"/>
    <x:col min="13" max="13" width="13" hidden="0" customWidth="1"/>
    <x:col min="14" max="14" width="12" hidden="0" customWidth="1"/>
    <x:col min="15" max="15" width="12" hidden="0" customWidth="1"/>
    <x:col min="16" max="16" width="8" hidden="0" customWidth="1"/>
    <x:col min="17" max="17" width="14" hidden="0" customWidth="1"/>
  </x:cols>
  <x:sheetData>
    <x:row r="1" ht="24" customHeight="1">
      <x:c r="B1" s="304"/>
      <x:c r="C1" s="304"/>
      <x:c r="D1" s="304"/>
      <x:c r="E1" s="304"/>
      <x:c r="F1" s="304"/>
      <x:c r="G1" s="304"/>
      <x:c r="H1" s="304"/>
      <x:c r="I1" s="304"/>
      <x:c r="J1" s="304"/>
      <x:c r="K1" s="304"/>
      <x:c r="L1" s="304"/>
      <x:c r="M1" s="304"/>
      <x:c r="N1" s="304"/>
      <x:c r="O1" s="304"/>
      <x:c r="P1" s="304"/>
      <x:c r="Q1" s="304"/>
    </x:row>
    <x:row r="2" ht="42" customHeight="1">
      <x:c r="B2" s="529" t="str">
        <x:v>Desempeño estratégico</x:v>
      </x:c>
      <x:c r="C2" s="529"/>
      <x:c r="D2" s="529"/>
      <x:c r="E2" s="529"/>
      <x:c r="F2" s="529"/>
      <x:c r="G2" s="529"/>
      <x:c r="H2" s="529"/>
      <x:c r="I2" s="529"/>
      <x:c r="J2" s="400"/>
      <x:c r="K2" s="400"/>
      <x:c r="L2" s="400"/>
      <x:c r="M2" s="400"/>
      <x:c r="N2" s="400"/>
      <x:c r="O2" s="400"/>
      <x:c r="P2" s="400"/>
      <x:c r="Q2" s="304"/>
    </x:row>
    <x:row r="3" ht="24" customHeight="1">
      <x:c r="B3" s="530" t="str">
        <x:v>TechPeru SAC / 2025 / Cuadro de mando integral</x:v>
      </x:c>
      <x:c r="C3" s="530"/>
      <x:c r="D3" s="530"/>
      <x:c r="E3" s="530"/>
      <x:c r="F3" s="530"/>
      <x:c r="G3" s="530"/>
      <x:c r="H3" s="530"/>
      <x:c r="I3" s="530"/>
      <x:c r="J3" s="400"/>
      <x:c r="K3" s="400"/>
      <x:c r="L3" s="400"/>
      <x:c r="M3" s="400"/>
      <x:c r="N3" s="400"/>
      <x:c r="O3" s="400"/>
      <x:c r="P3" s="400"/>
      <x:c r="Q3" s="304"/>
    </x:row>
    <x:row r="4" ht="24" customHeight="1">
      <x:c r="B4" s="400"/>
      <x:c r="C4" s="400"/>
      <x:c r="D4" s="400"/>
      <x:c r="E4" s="400"/>
      <x:c r="F4" s="400"/>
      <x:c r="G4" s="400"/>
      <x:c r="H4" s="400"/>
      <x:c r="I4" s="400"/>
      <x:c r="J4" s="400"/>
      <x:c r="K4" s="400"/>
      <x:c r="L4" s="400"/>
      <x:c r="M4" s="400"/>
      <x:c r="N4" s="400"/>
      <x:c r="O4" s="400"/>
      <x:c r="P4" s="400"/>
      <x:c r="Q4" s="304"/>
    </x:row>
    <x:row r="5" ht="24" customHeight="1">
      <x:c r="B5" s="558" t="str">
        <x:v>Cumplimiento global</x:v>
      </x:c>
      <x:c r="C5" s="558"/>
      <x:c r="D5" s="558"/>
      <x:c r="E5" s="559" t="str">
        <x:v>KPI con datos</x:v>
      </x:c>
      <x:c r="F5" s="559"/>
      <x:c r="G5" s="560" t="str">
        <x:v>Estado global</x:v>
      </x:c>
      <x:c r="H5" s="560"/>
      <x:c r="I5" s="560"/>
      <x:c r="J5" s="527"/>
      <x:c r="K5" s="561" t="str">
        <x:v>INDICADORES CRÍTICOS</x:v>
      </x:c>
      <x:c r="L5" s="561"/>
      <x:c r="M5" s="561"/>
      <x:c r="N5" s="561"/>
      <x:c r="O5" s="561"/>
      <x:c r="P5" s="561"/>
      <x:c r="Q5" s="304"/>
    </x:row>
    <x:row r="6" ht="24" customHeight="1">
      <x:c r="B6" s="548" t="n">
        <x:f>IF(COUNT(C12:C15)=0,"",AVERAGE(C12:C15))</x:f>
        <x:v>0.8422715272347814</x:v>
      </x:c>
      <x:c r="C6" s="548"/>
      <x:c r="D6" s="548"/>
      <x:c r="E6" s="551" t="n">
        <x:f>COUNT('📊 BSC Completo'!H4:H42)</x:f>
        <x:v>36</x:v>
      </x:c>
      <x:c r="F6" s="551"/>
      <x:c r="G6" s="554" t="str">
        <x:f>IF(NOT(ISNUMBER(B6)),"SIN DATOS",IF(B6&gt;=1,"CUMPLIDO",IF(B6&gt;=0.8,"EN RIESGO","CRÍTICO")))</x:f>
        <x:v>EN RIESGO</x:v>
      </x:c>
      <x:c r="H6" s="554"/>
      <x:c r="I6" s="554"/>
      <x:c r="J6" s="527"/>
      <x:c r="K6" s="562" t="n">
        <x:f>C21</x:f>
        <x:v>9</x:v>
      </x:c>
      <x:c r="L6" s="562"/>
      <x:c r="M6" s="562"/>
      <x:c r="N6" s="562"/>
      <x:c r="O6" s="562"/>
      <x:c r="P6" s="562"/>
      <x:c r="Q6" s="304"/>
    </x:row>
    <x:row r="7" ht="24" customHeight="1">
      <x:c r="B7" s="548"/>
      <x:c r="C7" s="548"/>
      <x:c r="D7" s="548"/>
      <x:c r="E7" s="551"/>
      <x:c r="F7" s="551"/>
      <x:c r="G7" s="554"/>
      <x:c r="H7" s="554"/>
      <x:c r="I7" s="554"/>
      <x:c r="J7" s="527"/>
      <x:c r="K7" s="562"/>
      <x:c r="L7" s="562"/>
      <x:c r="M7" s="562"/>
      <x:c r="N7" s="562"/>
      <x:c r="O7" s="562"/>
      <x:c r="P7" s="562"/>
      <x:c r="Q7" s="304"/>
    </x:row>
    <x:row r="8" ht="24" customHeight="1">
      <x:c r="B8" s="563" t="str">
        <x:v>Promedio por objetivo y perspectiva</x:v>
      </x:c>
      <x:c r="C8" s="563"/>
      <x:c r="D8" s="563"/>
      <x:c r="E8" s="564" t="str">
        <x:v>de 36 indicadores</x:v>
      </x:c>
      <x:c r="F8" s="564"/>
      <x:c r="G8" s="565" t="str">
        <x:v>Estado de las perspectivas</x:v>
      </x:c>
      <x:c r="H8" s="565"/>
      <x:c r="I8" s="565"/>
      <x:c r="J8" s="527"/>
      <x:c r="K8" s="561" t="str">
        <x:v>Cumplimiento inferior al 80%</x:v>
      </x:c>
      <x:c r="L8" s="561"/>
      <x:c r="M8" s="561"/>
      <x:c r="N8" s="561"/>
      <x:c r="O8" s="561"/>
      <x:c r="P8" s="561"/>
      <x:c r="Q8" s="304"/>
    </x:row>
    <x:row r="9" ht="24" customHeight="1">
      <x:c r="B9" s="400"/>
      <x:c r="C9" s="400"/>
      <x:c r="D9" s="400"/>
      <x:c r="E9" s="400"/>
      <x:c r="F9" s="400"/>
      <x:c r="G9" s="400"/>
      <x:c r="H9" s="400"/>
      <x:c r="I9" s="400"/>
      <x:c r="J9" s="400"/>
      <x:c r="K9" s="400"/>
      <x:c r="L9" s="400"/>
      <x:c r="M9" s="400"/>
      <x:c r="N9" s="400"/>
      <x:c r="O9" s="400"/>
      <x:c r="P9" s="400"/>
      <x:c r="Q9" s="304"/>
    </x:row>
    <x:row r="10" ht="24" customHeight="1">
      <x:c r="B10" s="400"/>
      <x:c r="C10" s="400"/>
      <x:c r="D10" s="400"/>
      <x:c r="E10" s="400"/>
      <x:c r="F10" s="400"/>
      <x:c r="G10" s="400"/>
      <x:c r="H10" s="400"/>
      <x:c r="I10" s="400"/>
      <x:c r="J10" s="400"/>
      <x:c r="K10" s="400"/>
      <x:c r="L10" s="400"/>
      <x:c r="M10" s="400"/>
      <x:c r="N10" s="400"/>
      <x:c r="O10" s="400"/>
      <x:c r="P10" s="400"/>
      <x:c r="Q10" s="304"/>
    </x:row>
    <x:row r="11" ht="32" customHeight="1">
      <x:c r="B11" s="413" t="str">
        <x:v>Perspectiva</x:v>
      </x:c>
      <x:c r="C11" s="413" t="str">
        <x:v>Cumplimiento</x:v>
      </x:c>
      <x:c r="D11" s="413" t="str">
        <x:v>Con datos</x:v>
      </x:c>
      <x:c r="E11" s="413" t="str">
        <x:v>Total KPI</x:v>
      </x:c>
      <x:c r="F11" s="400"/>
      <x:c r="G11" s="400"/>
      <x:c r="H11" s="400"/>
      <x:c r="I11" s="400"/>
      <x:c r="J11" s="400"/>
      <x:c r="K11" s="400"/>
      <x:c r="L11" s="400"/>
      <x:c r="M11" s="400"/>
      <x:c r="N11" s="400"/>
      <x:c r="O11" s="400"/>
      <x:c r="P11" s="400"/>
      <x:c r="Q11" s="304"/>
    </x:row>
    <x:row r="12" ht="36" customHeight="1">
      <x:c r="B12" s="568" t="str">
        <x:v>Financiera</x:v>
      </x:c>
      <x:c r="C12" s="407" t="n">
        <x:f>IF(COUNT(C24:C26)=0,"",AVERAGE(C24:C26))</x:f>
        <x:v>0.8775281148614207</x:v>
      </x:c>
      <x:c r="D12" s="400" t="n">
        <x:f>COUNT('📊 BSC Completo'!H4:H12)</x:f>
        <x:v>9</x:v>
      </x:c>
      <x:c r="E12" s="400" t="n">
        <x:v>9</x:v>
      </x:c>
      <x:c r="F12" s="400"/>
      <x:c r="G12" s="400"/>
      <x:c r="H12" s="400"/>
      <x:c r="I12" s="400"/>
      <x:c r="J12" s="400"/>
      <x:c r="K12" s="400"/>
      <x:c r="L12" s="400"/>
      <x:c r="M12" s="400"/>
      <x:c r="N12" s="400"/>
      <x:c r="O12" s="400"/>
      <x:c r="P12" s="400"/>
      <x:c r="Q12" s="304"/>
    </x:row>
    <x:row r="13" ht="36" customHeight="1">
      <x:c r="B13" s="570" t="str">
        <x:v>Clientes</x:v>
      </x:c>
      <x:c r="C13" s="407" t="n">
        <x:f>IF(COUNT(C27:C29)=0,"",AVERAGE(C27:C29))</x:f>
        <x:v>0.8603350471453527</x:v>
      </x:c>
      <x:c r="D13" s="400" t="n">
        <x:f>COUNT('📊 BSC Completo'!H14:H22)</x:f>
        <x:v>9</x:v>
      </x:c>
      <x:c r="E13" s="400" t="n">
        <x:v>9</x:v>
      </x:c>
      <x:c r="F13" s="400"/>
      <x:c r="G13" s="400"/>
      <x:c r="H13" s="400"/>
      <x:c r="I13" s="400"/>
      <x:c r="J13" s="400"/>
      <x:c r="K13" s="400"/>
      <x:c r="L13" s="400"/>
      <x:c r="M13" s="400"/>
      <x:c r="N13" s="400"/>
      <x:c r="O13" s="400"/>
      <x:c r="P13" s="400"/>
      <x:c r="Q13" s="304"/>
    </x:row>
    <x:row r="14" ht="36" customHeight="1">
      <x:c r="B14" s="572" t="str">
        <x:v>Procesos internos</x:v>
      </x:c>
      <x:c r="C14" s="407" t="n">
        <x:f>IF(COUNT(C30:C32)=0,"",AVERAGE(C30:C32))</x:f>
        <x:v>0.7936039812174114</x:v>
      </x:c>
      <x:c r="D14" s="400" t="n">
        <x:f>COUNT('📊 BSC Completo'!H24:H32)</x:f>
        <x:v>9</x:v>
      </x:c>
      <x:c r="E14" s="400" t="n">
        <x:v>9</x:v>
      </x:c>
      <x:c r="F14" s="400"/>
      <x:c r="G14" s="400"/>
      <x:c r="H14" s="400"/>
      <x:c r="I14" s="400"/>
      <x:c r="J14" s="400"/>
      <x:c r="K14" s="400"/>
      <x:c r="L14" s="400"/>
      <x:c r="M14" s="400"/>
      <x:c r="N14" s="400"/>
      <x:c r="O14" s="400"/>
      <x:c r="P14" s="400"/>
      <x:c r="Q14" s="304"/>
    </x:row>
    <x:row r="15" ht="36" customHeight="1">
      <x:c r="B15" s="574" t="str">
        <x:v>Aprendizaje</x:v>
      </x:c>
      <x:c r="C15" s="407" t="n">
        <x:f>IF(COUNT(C33:C35)=0,"",AVERAGE(C33:C35))</x:f>
        <x:v>0.8376189657149409</x:v>
      </x:c>
      <x:c r="D15" s="400" t="n">
        <x:f>COUNT('📊 BSC Completo'!H34:H42)</x:f>
        <x:v>9</x:v>
      </x:c>
      <x:c r="E15" s="400" t="n">
        <x:v>9</x:v>
      </x:c>
      <x:c r="F15" s="400"/>
      <x:c r="G15" s="400"/>
      <x:c r="H15" s="400"/>
      <x:c r="I15" s="400"/>
      <x:c r="J15" s="400"/>
      <x:c r="K15" s="400"/>
      <x:c r="L15" s="400"/>
      <x:c r="M15" s="400"/>
      <x:c r="N15" s="400"/>
      <x:c r="O15" s="400"/>
      <x:c r="P15" s="400"/>
      <x:c r="Q15" s="304"/>
    </x:row>
    <x:row r="16" ht="24" customHeight="1">
      <x:c r="B16" s="400"/>
      <x:c r="C16" s="400"/>
      <x:c r="D16" s="400"/>
      <x:c r="E16" s="400"/>
      <x:c r="F16" s="400"/>
      <x:c r="G16" s="400"/>
      <x:c r="H16" s="400"/>
      <x:c r="I16" s="400"/>
      <x:c r="J16" s="400"/>
      <x:c r="K16" s="400"/>
      <x:c r="L16" s="400"/>
      <x:c r="M16" s="400"/>
      <x:c r="N16" s="400"/>
      <x:c r="O16" s="400"/>
      <x:c r="P16" s="400"/>
      <x:c r="Q16" s="304"/>
    </x:row>
    <x:row r="17" ht="24" customHeight="1">
      <x:c r="B17" s="400"/>
      <x:c r="C17" s="400"/>
      <x:c r="D17" s="400"/>
      <x:c r="E17" s="400"/>
      <x:c r="F17" s="400"/>
      <x:c r="G17" s="400"/>
      <x:c r="H17" s="400"/>
      <x:c r="I17" s="400"/>
      <x:c r="J17" s="400"/>
      <x:c r="K17" s="400"/>
      <x:c r="L17" s="400"/>
      <x:c r="M17" s="400"/>
      <x:c r="N17" s="400"/>
      <x:c r="O17" s="400"/>
      <x:c r="P17" s="400"/>
      <x:c r="Q17" s="304"/>
    </x:row>
    <x:row r="18" ht="32" customHeight="1">
      <x:c r="B18" s="413" t="str">
        <x:v>Estado de los indicadores</x:v>
      </x:c>
      <x:c r="C18" s="413" t="str">
        <x:v>Cantidad</x:v>
      </x:c>
      <x:c r="D18" s="400"/>
      <x:c r="E18" s="400"/>
      <x:c r="F18" s="400"/>
      <x:c r="G18" s="400"/>
      <x:c r="H18" s="400"/>
      <x:c r="I18" s="400"/>
      <x:c r="J18" s="400"/>
      <x:c r="K18" s="400"/>
      <x:c r="L18" s="400"/>
      <x:c r="M18" s="400"/>
      <x:c r="N18" s="400"/>
      <x:c r="O18" s="400"/>
      <x:c r="P18" s="400"/>
      <x:c r="Q18" s="304"/>
    </x:row>
    <x:row r="19" ht="30" customHeight="1">
      <x:c r="B19" s="575" t="str">
        <x:v>CUMPLIDO</x:v>
      </x:c>
      <x:c r="C19" s="576" t="n">
        <x:f>COUNTIF('📊 BSC Completo'!I4:I42,B19)</x:f>
        <x:v>0</x:v>
      </x:c>
      <x:c r="D19" s="400"/>
      <x:c r="E19" s="400"/>
      <x:c r="F19" s="400"/>
      <x:c r="G19" s="400"/>
      <x:c r="H19" s="400"/>
      <x:c r="I19" s="400"/>
      <x:c r="J19" s="400"/>
      <x:c r="K19" s="400"/>
      <x:c r="L19" s="400"/>
      <x:c r="M19" s="400"/>
      <x:c r="N19" s="400"/>
      <x:c r="O19" s="400"/>
      <x:c r="P19" s="400"/>
      <x:c r="Q19" s="304"/>
    </x:row>
    <x:row r="20" ht="30" customHeight="1">
      <x:c r="B20" s="400" t="str">
        <x:v>EN RIESGO</x:v>
      </x:c>
      <x:c r="C20" s="577" t="n">
        <x:f>COUNTIF('📊 BSC Completo'!I4:I42,B20)</x:f>
        <x:v>27</x:v>
      </x:c>
      <x:c r="D20" s="400"/>
      <x:c r="E20" s="400"/>
      <x:c r="F20" s="400"/>
      <x:c r="G20" s="400"/>
      <x:c r="H20" s="400"/>
      <x:c r="I20" s="400"/>
      <x:c r="J20" s="400"/>
      <x:c r="K20" s="400"/>
      <x:c r="L20" s="400"/>
      <x:c r="M20" s="400"/>
      <x:c r="N20" s="400"/>
      <x:c r="O20" s="400"/>
      <x:c r="P20" s="400"/>
      <x:c r="Q20" s="304"/>
    </x:row>
    <x:row r="21" ht="30" customHeight="1">
      <x:c r="B21" s="575" t="str">
        <x:v>CRÍTICO</x:v>
      </x:c>
      <x:c r="C21" s="576" t="n">
        <x:f>COUNTIF('📊 BSC Completo'!I4:I42,B21)</x:f>
        <x:v>9</x:v>
      </x:c>
      <x:c r="D21" s="400"/>
      <x:c r="E21" s="400"/>
      <x:c r="F21" s="400"/>
      <x:c r="G21" s="400"/>
      <x:c r="H21" s="400"/>
      <x:c r="I21" s="400"/>
      <x:c r="J21" s="400"/>
      <x:c r="K21" s="400"/>
      <x:c r="L21" s="400"/>
      <x:c r="M21" s="400"/>
      <x:c r="N21" s="400"/>
      <x:c r="O21" s="400"/>
      <x:c r="P21" s="400"/>
      <x:c r="Q21" s="304"/>
    </x:row>
    <x:row r="22" ht="30" customHeight="1">
      <x:c r="B22" s="400" t="str">
        <x:v>SIN DATOS</x:v>
      </x:c>
      <x:c r="C22" s="577" t="n">
        <x:f>COUNTIF('📊 BSC Completo'!I4:I42,B22)</x:f>
        <x:v>0</x:v>
      </x:c>
      <x:c r="D22" s="400"/>
      <x:c r="E22" s="400"/>
      <x:c r="F22" s="400"/>
      <x:c r="G22" s="400"/>
      <x:c r="H22" s="400"/>
      <x:c r="I22" s="400"/>
      <x:c r="J22" s="400"/>
      <x:c r="K22" s="400"/>
      <x:c r="L22" s="400"/>
      <x:c r="M22" s="400"/>
      <x:c r="N22" s="400"/>
      <x:c r="O22" s="400"/>
      <x:c r="P22" s="400"/>
      <x:c r="Q22" s="304"/>
    </x:row>
    <x:row r="23" ht="32" customHeight="1">
      <x:c r="B23" s="413" t="str">
        <x:v>Objetivo estratégico</x:v>
      </x:c>
      <x:c r="C23" s="413" t="str">
        <x:v>Cumplimiento</x:v>
      </x:c>
      <x:c r="D23" s="413" t="str">
        <x:v>Perspectiva</x:v>
      </x:c>
      <x:c r="E23" s="400"/>
      <x:c r="F23" s="400"/>
      <x:c r="G23" s="400"/>
      <x:c r="H23" s="400"/>
      <x:c r="I23" s="400"/>
      <x:c r="J23" s="400"/>
      <x:c r="K23" s="400"/>
      <x:c r="L23" s="400"/>
      <x:c r="M23" s="400"/>
      <x:c r="N23" s="400"/>
      <x:c r="O23" s="400"/>
      <x:c r="P23" s="400"/>
      <x:c r="Q23" s="304"/>
    </x:row>
    <x:row r="24" ht="48" customHeight="1">
      <x:c r="B24" s="578" t="str">
        <x:v>Incrementar la Rentabilidad</x:v>
      </x:c>
      <x:c r="C24" s="407" t="n">
        <x:f>IF(COUNT('📊 BSC Completo'!H4:H6)=0,"",AVERAGE('📊 BSC Completo'!H4:H6))</x:f>
        <x:v>0.9023809523809524</x:v>
      </x:c>
      <x:c r="D24" s="579" t="str">
        <x:v>Financiera</x:v>
      </x:c>
      <x:c r="E24" s="400"/>
      <x:c r="F24" s="400"/>
      <x:c r="G24" s="400"/>
      <x:c r="H24" s="400"/>
      <x:c r="I24" s="400"/>
      <x:c r="J24" s="400"/>
      <x:c r="K24" s="400"/>
      <x:c r="L24" s="400"/>
      <x:c r="M24" s="400"/>
      <x:c r="N24" s="400"/>
      <x:c r="O24" s="400"/>
      <x:c r="P24" s="400"/>
      <x:c r="Q24" s="304"/>
    </x:row>
    <x:row r="25" ht="48" customHeight="1">
      <x:c r="B25" s="578" t="str">
        <x:v>Acelerar el Crecimiento de Ingresos</x:v>
      </x:c>
      <x:c r="C25" s="407" t="n">
        <x:f>IF(COUNT('📊 BSC Completo'!H7:H9)=0,"",AVERAGE('📊 BSC Completo'!H7:H9))</x:f>
        <x:v>0.8431372549019608</x:v>
      </x:c>
      <x:c r="D25" s="579" t="str">
        <x:v>Financiera</x:v>
      </x:c>
      <x:c r="E25" s="400"/>
      <x:c r="F25" s="400"/>
      <x:c r="G25" s="400"/>
      <x:c r="H25" s="400"/>
      <x:c r="I25" s="400"/>
      <x:c r="J25" s="400"/>
      <x:c r="K25" s="400"/>
      <x:c r="L25" s="400"/>
      <x:c r="M25" s="400"/>
      <x:c r="N25" s="400"/>
      <x:c r="O25" s="400"/>
      <x:c r="P25" s="400"/>
      <x:c r="Q25" s="304"/>
    </x:row>
    <x:row r="26" ht="30" customHeight="1">
      <x:c r="B26" s="578" t="str">
        <x:v>Optimizar la Estructura de Costos</x:v>
      </x:c>
      <x:c r="C26" s="407" t="n">
        <x:f>IF(COUNT('📊 BSC Completo'!H10:H12)=0,"",AVERAGE('📊 BSC Completo'!H10:H12))</x:f>
        <x:v>0.887066137301349</x:v>
      </x:c>
      <x:c r="D26" s="579" t="str">
        <x:v>Financiera</x:v>
      </x:c>
      <x:c r="E26" s="400"/>
      <x:c r="F26" s="400"/>
      <x:c r="G26" s="583" t="str">
        <x:v>Criterios de lectura</x:v>
      </x:c>
      <x:c r="H26" s="583"/>
      <x:c r="I26" s="583"/>
      <x:c r="J26" s="583"/>
      <x:c r="K26" s="583"/>
      <x:c r="L26" s="583"/>
      <x:c r="M26" s="583"/>
      <x:c r="N26" s="583"/>
      <x:c r="O26" s="583"/>
      <x:c r="P26" s="583"/>
      <x:c r="Q26" s="304"/>
    </x:row>
    <x:row r="27" ht="30" customHeight="1">
      <x:c r="B27" s="580" t="str">
        <x:v>Maximizar la Satisfacción del Cliente</x:v>
      </x:c>
      <x:c r="C27" s="407" t="n">
        <x:f>IF(COUNT('📊 BSC Completo'!H14:H16)=0,"",AVERAGE('📊 BSC Completo'!H14:H16))</x:f>
        <x:v>0.8537129537129537</x:v>
      </x:c>
      <x:c r="D27" s="579" t="str">
        <x:v>Clientes</x:v>
      </x:c>
      <x:c r="E27" s="400"/>
      <x:c r="F27" s="400"/>
      <x:c r="G27" s="584" t="str">
        <x:v>Cumplido: 100% o más. En riesgo: desde 80% hasta menos de 100%.</x:v>
      </x:c>
      <x:c r="H27" s="584"/>
      <x:c r="I27" s="584"/>
      <x:c r="J27" s="584"/>
      <x:c r="K27" s="584"/>
      <x:c r="L27" s="584"/>
      <x:c r="M27" s="584"/>
      <x:c r="N27" s="584"/>
      <x:c r="O27" s="584"/>
      <x:c r="P27" s="584"/>
      <x:c r="Q27" s="304"/>
    </x:row>
    <x:row r="28" ht="30" customHeight="1">
      <x:c r="B28" s="580" t="str">
        <x:v>Aumentar la Retención y Fidelización</x:v>
      </x:c>
      <x:c r="C28" s="407" t="n">
        <x:f>IF(COUNT('📊 BSC Completo'!H17:H19)=0,"",AVERAGE('📊 BSC Completo'!H17:H19))</x:f>
        <x:v>0.8506734006734007</x:v>
      </x:c>
      <x:c r="D28" s="579" t="str">
        <x:v>Clientes</x:v>
      </x:c>
      <x:c r="E28" s="400"/>
      <x:c r="F28" s="400"/>
      <x:c r="G28" s="584" t="str">
        <x:v>Crítico: menos de 80%. Un resultado vacío se muestra como Sin datos.</x:v>
      </x:c>
      <x:c r="H28" s="584"/>
      <x:c r="I28" s="584"/>
      <x:c r="J28" s="584"/>
      <x:c r="K28" s="584"/>
      <x:c r="L28" s="584"/>
      <x:c r="M28" s="584"/>
      <x:c r="N28" s="584"/>
      <x:c r="O28" s="584"/>
      <x:c r="P28" s="584"/>
      <x:c r="Q28" s="304"/>
    </x:row>
    <x:row r="29" ht="30" customHeight="1">
      <x:c r="B29" s="580" t="str">
        <x:v>Expandir la Base de Clientes</x:v>
      </x:c>
      <x:c r="C29" s="407" t="n">
        <x:f>IF(COUNT('📊 BSC Completo'!H20:H22)=0,"",AVERAGE('📊 BSC Completo'!H20:H22))</x:f>
        <x:v>0.8766187870497036</x:v>
      </x:c>
      <x:c r="D29" s="579" t="str">
        <x:v>Clientes</x:v>
      </x:c>
      <x:c r="E29" s="400"/>
      <x:c r="F29" s="400"/>
      <x:c r="G29" s="584" t="str">
        <x:v>Mayor es mejor: resultado / meta. Se limita a 150% para el resumen.</x:v>
      </x:c>
      <x:c r="H29" s="584"/>
      <x:c r="I29" s="584"/>
      <x:c r="J29" s="584"/>
      <x:c r="K29" s="584"/>
      <x:c r="L29" s="584"/>
      <x:c r="M29" s="584"/>
      <x:c r="N29" s="584"/>
      <x:c r="O29" s="584"/>
      <x:c r="P29" s="584"/>
      <x:c r="Q29" s="304"/>
    </x:row>
    <x:row r="30" ht="30" customHeight="1">
      <x:c r="B30" s="581" t="str">
        <x:v>Excelencia en Operaciones y Calidad</x:v>
      </x:c>
      <x:c r="C30" s="407" t="n">
        <x:f>IF(COUNT('📊 BSC Completo'!H24:H26)=0,"",AVERAGE('📊 BSC Completo'!H24:H26))</x:f>
        <x:v>0.8171428571428572</x:v>
      </x:c>
      <x:c r="D30" s="579" t="str">
        <x:v>Procesos internos</x:v>
      </x:c>
      <x:c r="E30" s="400"/>
      <x:c r="F30" s="400"/>
      <x:c r="G30" s="584" t="str">
        <x:v>Menor es mejor: meta / resultado; si alcanza la meta, cumple al 100%.</x:v>
      </x:c>
      <x:c r="H30" s="584"/>
      <x:c r="I30" s="584"/>
      <x:c r="J30" s="584"/>
      <x:c r="K30" s="584"/>
      <x:c r="L30" s="584"/>
      <x:c r="M30" s="584"/>
      <x:c r="N30" s="584"/>
      <x:c r="O30" s="584"/>
      <x:c r="P30" s="584"/>
      <x:c r="Q30" s="304"/>
    </x:row>
    <x:row r="31" ht="30" customHeight="1">
      <x:c r="B31" s="581" t="str">
        <x:v>Innovación y Desarrollo de Producto</x:v>
      </x:c>
      <x:c r="C31" s="407" t="n">
        <x:f>IF(COUNT('📊 BSC Completo'!H27:H29)=0,"",AVERAGE('📊 BSC Completo'!H27:H29))</x:f>
        <x:v>0.7566666666666667</x:v>
      </x:c>
      <x:c r="D31" s="579" t="str">
        <x:v>Procesos internos</x:v>
      </x:c>
      <x:c r="E31" s="400"/>
      <x:c r="F31" s="400"/>
      <x:c r="G31" s="584" t="str">
        <x:v>El resumen promedia KPI por objetivo, objetivos por perspectiva</x:v>
      </x:c>
      <x:c r="H31" s="584"/>
      <x:c r="I31" s="584"/>
      <x:c r="J31" s="584"/>
      <x:c r="K31" s="584"/>
      <x:c r="L31" s="584"/>
      <x:c r="M31" s="584"/>
      <x:c r="N31" s="584"/>
      <x:c r="O31" s="584"/>
      <x:c r="P31" s="584"/>
      <x:c r="Q31" s="304"/>
    </x:row>
    <x:row r="32" ht="30" customHeight="1">
      <x:c r="B32" s="581" t="str">
        <x:v>Gestión Eficiente de Proveedores</x:v>
      </x:c>
      <x:c r="C32" s="407" t="n">
        <x:f>IF(COUNT('📊 BSC Completo'!H30:H32)=0,"",AVERAGE('📊 BSC Completo'!H30:H32))</x:f>
        <x:v>0.8070024198427102</x:v>
      </x:c>
      <x:c r="D32" s="579" t="str">
        <x:v>Procesos internos</x:v>
      </x:c>
      <x:c r="E32" s="400"/>
      <x:c r="F32" s="400"/>
      <x:c r="G32" s="584" t="str">
        <x:v>y las perspectivas con datos. Cada perspectiva tiene igual peso.</x:v>
      </x:c>
      <x:c r="H32" s="584"/>
      <x:c r="I32" s="584"/>
      <x:c r="J32" s="584"/>
      <x:c r="K32" s="584"/>
      <x:c r="L32" s="584"/>
      <x:c r="M32" s="584"/>
      <x:c r="N32" s="584"/>
      <x:c r="O32" s="584"/>
      <x:c r="P32" s="584"/>
      <x:c r="Q32" s="304"/>
    </x:row>
    <x:row r="33" ht="30" customHeight="1">
      <x:c r="B33" s="582" t="str">
        <x:v>Desarrollar el Capital Humano</x:v>
      </x:c>
      <x:c r="C33" s="407" t="n">
        <x:f>IF(COUNT('📊 BSC Completo'!H34:H36)=0,"",AVERAGE('📊 BSC Completo'!H34:H36))</x:f>
        <x:v>0.8818627450980392</x:v>
      </x:c>
      <x:c r="D33" s="579" t="str">
        <x:v>Aprendizaje</x:v>
      </x:c>
      <x:c r="E33" s="400"/>
      <x:c r="F33" s="400"/>
      <x:c r="G33" s="584" t="str">
        <x:v>Edite las columnas Meta y Real en BSC Completo.</x:v>
      </x:c>
      <x:c r="H33" s="584"/>
      <x:c r="I33" s="584"/>
      <x:c r="J33" s="584"/>
      <x:c r="K33" s="584"/>
      <x:c r="L33" s="584"/>
      <x:c r="M33" s="584"/>
      <x:c r="N33" s="584"/>
      <x:c r="O33" s="584"/>
      <x:c r="P33" s="584"/>
      <x:c r="Q33" s="304"/>
    </x:row>
    <x:row r="34" ht="30" customHeight="1">
      <x:c r="B34" s="582" t="str">
        <x:v>Fortalecer la Cultura y el Clima</x:v>
      </x:c>
      <x:c r="C34" s="407" t="n">
        <x:f>IF(COUNT('📊 BSC Completo'!H37:H39)=0,"",AVERAGE('📊 BSC Completo'!H37:H39))</x:f>
        <x:v>0.8776608187134501</x:v>
      </x:c>
      <x:c r="D34" s="579" t="str">
        <x:v>Aprendizaje</x:v>
      </x:c>
      <x:c r="E34" s="400"/>
      <x:c r="F34" s="400"/>
      <x:c r="G34" s="584" t="str">
        <x:v>Porcentajes de entrada: escriba 18 para 18%, no 0.18.</x:v>
      </x:c>
      <x:c r="H34" s="584"/>
      <x:c r="I34" s="584"/>
      <x:c r="J34" s="584"/>
      <x:c r="K34" s="584"/>
      <x:c r="L34" s="584"/>
      <x:c r="M34" s="584"/>
      <x:c r="N34" s="584"/>
      <x:c r="O34" s="584"/>
      <x:c r="P34" s="584"/>
      <x:c r="Q34" s="304"/>
    </x:row>
    <x:row r="35" ht="30" customHeight="1">
      <x:c r="B35" s="582" t="str">
        <x:v>Impulsar la Innovación Organizacional</x:v>
      </x:c>
      <x:c r="C35" s="407" t="n">
        <x:f>IF(COUNT('📊 BSC Completo'!H40:H42)=0,"",AVERAGE('📊 BSC Completo'!H40:H42))</x:f>
        <x:v>0.7533333333333333</x:v>
      </x:c>
      <x:c r="D35" s="579" t="str">
        <x:v>Aprendizaje</x:v>
      </x:c>
      <x:c r="E35" s="400"/>
      <x:c r="F35" s="400"/>
      <x:c r="G35" s="584" t="str">
        <x:v>S/ MM significa millones de soles. El período de referencia es 2025.</x:v>
      </x:c>
      <x:c r="H35" s="584"/>
      <x:c r="I35" s="584"/>
      <x:c r="J35" s="584"/>
      <x:c r="K35" s="584"/>
      <x:c r="L35" s="584"/>
      <x:c r="M35" s="584"/>
      <x:c r="N35" s="584"/>
      <x:c r="O35" s="584"/>
      <x:c r="P35" s="584"/>
      <x:c r="Q35" s="304"/>
    </x:row>
    <x:row r="36" ht="30" customHeight="1">
      <x:c r="B36" s="400"/>
      <x:c r="C36" s="400"/>
      <x:c r="D36" s="400"/>
      <x:c r="E36" s="400"/>
      <x:c r="F36" s="400"/>
      <x:c r="G36" s="584" t="str">
        <x:v>El Excel no está conectado en vivo: impórtelo desde la aplicación.</x:v>
      </x:c>
      <x:c r="H36" s="584"/>
      <x:c r="I36" s="584"/>
      <x:c r="J36" s="584"/>
      <x:c r="K36" s="584"/>
      <x:c r="L36" s="584"/>
      <x:c r="M36" s="584"/>
      <x:c r="N36" s="584"/>
      <x:c r="O36" s="584"/>
      <x:c r="P36" s="584"/>
      <x:c r="Q36" s="304"/>
    </x:row>
    <x:row r="37" ht="24" customHeight="1">
      <x:c r="B37" s="400"/>
      <x:c r="C37" s="400"/>
      <x:c r="D37" s="400"/>
      <x:c r="E37" s="400"/>
      <x:c r="F37" s="400"/>
      <x:c r="G37" s="400"/>
      <x:c r="H37" s="400"/>
      <x:c r="I37" s="400"/>
      <x:c r="J37" s="400"/>
      <x:c r="K37" s="400"/>
      <x:c r="L37" s="400"/>
      <x:c r="M37" s="400"/>
      <x:c r="N37" s="400"/>
      <x:c r="O37" s="400"/>
      <x:c r="P37" s="400"/>
      <x:c r="Q37" s="304"/>
    </x:row>
    <x:row r="38" ht="32" customHeight="1">
      <x:c r="B38" s="589" t="str">
        <x:v>Código</x:v>
      </x:c>
      <x:c r="C38" s="589" t="str">
        <x:v>Indicador</x:v>
      </x:c>
      <x:c r="D38" s="589"/>
      <x:c r="E38" s="589"/>
      <x:c r="F38" s="589"/>
      <x:c r="G38" s="413"/>
      <x:c r="H38" s="413" t="str">
        <x:v>Meta</x:v>
      </x:c>
      <x:c r="I38" s="413"/>
      <x:c r="J38" s="413" t="str">
        <x:v>Real</x:v>
      </x:c>
      <x:c r="K38" s="413"/>
      <x:c r="L38" s="413" t="str">
        <x:v>Cumplimiento</x:v>
      </x:c>
      <x:c r="M38" s="413"/>
      <x:c r="N38" s="413" t="str">
        <x:v>Estado</x:v>
      </x:c>
      <x:c r="O38" s="413"/>
      <x:c r="P38" s="413"/>
      <x:c r="Q38" s="304"/>
    </x:row>
    <x:row r="39" ht="32" customHeight="1">
      <x:c r="B39" s="312" t="str">
        <x:f>'📊 BSC Completo'!J4</x:f>
        <x:v>KPI-01</x:v>
      </x:c>
      <x:c r="C39" s="312" t="str">
        <x:f>'📊 BSC Completo'!D4</x:f>
        <x:v>ROE – Retorno sobre Patrimonio</x:v>
      </x:c>
      <x:c r="D39" s="312"/>
      <x:c r="E39" s="312"/>
      <x:c r="F39" s="312"/>
      <x:c r="G39" s="400"/>
      <x:c r="H39" s="403" t="n">
        <x:f>IF(ISNUMBER('📊 BSC Completo'!F4),'📊 BSC Completo'!F4,"")</x:f>
        <x:v>18</x:v>
      </x:c>
      <x:c r="I39" s="403"/>
      <x:c r="J39" s="403" t="n">
        <x:f>IF(ISNUMBER('📊 BSC Completo'!G4),'📊 BSC Completo'!G4,"")</x:f>
        <x:v>16.5</x:v>
      </x:c>
      <x:c r="K39" s="403"/>
      <x:c r="L39" s="404" t="n">
        <x:f>IF(ISNUMBER('📊 BSC Completo'!H4),'📊 BSC Completo'!H4,"")</x:f>
        <x:v>0.9166666666666666</x:v>
      </x:c>
      <x:c r="M39" s="404"/>
      <x:c r="N39" s="401" t="str">
        <x:f>'📊 BSC Completo'!I4</x:f>
        <x:v>EN RIESGO</x:v>
      </x:c>
      <x:c r="O39" s="401"/>
      <x:c r="P39" s="401"/>
      <x:c r="Q39" s="304"/>
    </x:row>
    <x:row r="40" ht="32" customHeight="1">
      <x:c r="B40" s="590" t="str">
        <x:f>'📊 BSC Completo'!J5</x:f>
        <x:v>KPI-02</x:v>
      </x:c>
      <x:c r="C40" s="590" t="str">
        <x:f>'📊 BSC Completo'!D5</x:f>
        <x:v>Margen EBITDA</x:v>
      </x:c>
      <x:c r="D40" s="590"/>
      <x:c r="E40" s="590"/>
      <x:c r="F40" s="590"/>
      <x:c r="G40" s="428"/>
      <x:c r="H40" s="426" t="n">
        <x:f>IF(ISNUMBER('📊 BSC Completo'!F5),'📊 BSC Completo'!F5,"")</x:f>
        <x:v>22</x:v>
      </x:c>
      <x:c r="I40" s="426"/>
      <x:c r="J40" s="426" t="n">
        <x:f>IF(ISNUMBER('📊 BSC Completo'!G5),'📊 BSC Completo'!G5,"")</x:f>
        <x:v>19.8</x:v>
      </x:c>
      <x:c r="K40" s="426"/>
      <x:c r="L40" s="427" t="n">
        <x:f>IF(ISNUMBER('📊 BSC Completo'!H5),'📊 BSC Completo'!H5,"")</x:f>
        <x:v>0.9</x:v>
      </x:c>
      <x:c r="M40" s="427"/>
      <x:c r="N40" s="425" t="str">
        <x:f>'📊 BSC Completo'!I5</x:f>
        <x:v>EN RIESGO</x:v>
      </x:c>
      <x:c r="O40" s="425"/>
      <x:c r="P40" s="425"/>
      <x:c r="Q40" s="304"/>
    </x:row>
    <x:row r="41" ht="32" customHeight="1">
      <x:c r="B41" s="312" t="str">
        <x:f>'📊 BSC Completo'!J6</x:f>
        <x:v>KPI-03</x:v>
      </x:c>
      <x:c r="C41" s="312" t="str">
        <x:f>'📊 BSC Completo'!D6</x:f>
        <x:v>Utilidad Neta Anual</x:v>
      </x:c>
      <x:c r="D41" s="312"/>
      <x:c r="E41" s="312"/>
      <x:c r="F41" s="312"/>
      <x:c r="G41" s="400"/>
      <x:c r="H41" s="403" t="n">
        <x:f>IF(ISNUMBER('📊 BSC Completo'!F6),'📊 BSC Completo'!F6,"")</x:f>
        <x:v>2.1</x:v>
      </x:c>
      <x:c r="I41" s="403"/>
      <x:c r="J41" s="403" t="n">
        <x:f>IF(ISNUMBER('📊 BSC Completo'!G6),'📊 BSC Completo'!G6,"")</x:f>
        <x:v>1.87</x:v>
      </x:c>
      <x:c r="K41" s="403"/>
      <x:c r="L41" s="404" t="n">
        <x:f>IF(ISNUMBER('📊 BSC Completo'!H6),'📊 BSC Completo'!H6,"")</x:f>
        <x:v>0.8904761904761905</x:v>
      </x:c>
      <x:c r="M41" s="404"/>
      <x:c r="N41" s="401" t="str">
        <x:f>'📊 BSC Completo'!I6</x:f>
        <x:v>EN RIESGO</x:v>
      </x:c>
      <x:c r="O41" s="401"/>
      <x:c r="P41" s="401"/>
      <x:c r="Q41" s="304"/>
    </x:row>
    <x:row r="42" ht="32" customHeight="1">
      <x:c r="B42" s="590" t="str">
        <x:f>'📊 BSC Completo'!J7</x:f>
        <x:v>KPI-04</x:v>
      </x:c>
      <x:c r="C42" s="590" t="str">
        <x:f>'📊 BSC Completo'!D7</x:f>
        <x:v>Crecimiento de Ventas YoY</x:v>
      </x:c>
      <x:c r="D42" s="590"/>
      <x:c r="E42" s="590"/>
      <x:c r="F42" s="590"/>
      <x:c r="G42" s="428"/>
      <x:c r="H42" s="426" t="n">
        <x:f>IF(ISNUMBER('📊 BSC Completo'!F7),'📊 BSC Completo'!F7,"")</x:f>
        <x:v>15</x:v>
      </x:c>
      <x:c r="I42" s="426"/>
      <x:c r="J42" s="426" t="n">
        <x:f>IF(ISNUMBER('📊 BSC Completo'!G7),'📊 BSC Completo'!G7,"")</x:f>
        <x:v>12.3</x:v>
      </x:c>
      <x:c r="K42" s="426"/>
      <x:c r="L42" s="427" t="n">
        <x:f>IF(ISNUMBER('📊 BSC Completo'!H7),'📊 BSC Completo'!H7,"")</x:f>
        <x:v>0.8200000000000001</x:v>
      </x:c>
      <x:c r="M42" s="427"/>
      <x:c r="N42" s="425" t="str">
        <x:f>'📊 BSC Completo'!I7</x:f>
        <x:v>EN RIESGO</x:v>
      </x:c>
      <x:c r="O42" s="425"/>
      <x:c r="P42" s="425"/>
      <x:c r="Q42" s="304"/>
    </x:row>
    <x:row r="43" ht="32" customHeight="1">
      <x:c r="B43" s="312" t="str">
        <x:f>'📊 BSC Completo'!J8</x:f>
        <x:v>KPI-05</x:v>
      </x:c>
      <x:c r="C43" s="312" t="str">
        <x:f>'📊 BSC Completo'!D8</x:f>
        <x:v>Ingresos Totales Anuales</x:v>
      </x:c>
      <x:c r="D43" s="312"/>
      <x:c r="E43" s="312"/>
      <x:c r="F43" s="312"/>
      <x:c r="G43" s="400"/>
      <x:c r="H43" s="403" t="n">
        <x:f>IF(ISNUMBER('📊 BSC Completo'!F8),'📊 BSC Completo'!F8,"")</x:f>
        <x:v>8.5</x:v>
      </x:c>
      <x:c r="I43" s="403"/>
      <x:c r="J43" s="403" t="n">
        <x:f>IF(ISNUMBER('📊 BSC Completo'!G8),'📊 BSC Completo'!G8,"")</x:f>
        <x:v>7.9</x:v>
      </x:c>
      <x:c r="K43" s="403"/>
      <x:c r="L43" s="404" t="n">
        <x:f>IF(ISNUMBER('📊 BSC Completo'!H8),'📊 BSC Completo'!H8,"")</x:f>
        <x:v>0.9294117647058824</x:v>
      </x:c>
      <x:c r="M43" s="404"/>
      <x:c r="N43" s="401" t="str">
        <x:f>'📊 BSC Completo'!I8</x:f>
        <x:v>EN RIESGO</x:v>
      </x:c>
      <x:c r="O43" s="401"/>
      <x:c r="P43" s="401"/>
      <x:c r="Q43" s="304"/>
    </x:row>
    <x:row r="44" ht="32" customHeight="1">
      <x:c r="B44" s="590" t="str">
        <x:f>'📊 BSC Completo'!J9</x:f>
        <x:v>KPI-06</x:v>
      </x:c>
      <x:c r="C44" s="590" t="str">
        <x:f>'📊 BSC Completo'!D9</x:f>
        <x:v>Ingresos por Nuevos Productos</x:v>
      </x:c>
      <x:c r="D44" s="590"/>
      <x:c r="E44" s="590"/>
      <x:c r="F44" s="590"/>
      <x:c r="G44" s="428"/>
      <x:c r="H44" s="426" t="n">
        <x:f>IF(ISNUMBER('📊 BSC Completo'!F9),'📊 BSC Completo'!F9,"")</x:f>
        <x:v>20</x:v>
      </x:c>
      <x:c r="I44" s="426"/>
      <x:c r="J44" s="426" t="n">
        <x:f>IF(ISNUMBER('📊 BSC Completo'!G9),'📊 BSC Completo'!G9,"")</x:f>
        <x:v>15.6</x:v>
      </x:c>
      <x:c r="K44" s="426"/>
      <x:c r="L44" s="427" t="n">
        <x:f>IF(ISNUMBER('📊 BSC Completo'!H9),'📊 BSC Completo'!H9,"")</x:f>
        <x:v>0.78</x:v>
      </x:c>
      <x:c r="M44" s="427"/>
      <x:c r="N44" s="425" t="str">
        <x:f>'📊 BSC Completo'!I9</x:f>
        <x:v>CRÍTICO</x:v>
      </x:c>
      <x:c r="O44" s="425"/>
      <x:c r="P44" s="425"/>
      <x:c r="Q44" s="304"/>
    </x:row>
    <x:row r="45" ht="32" customHeight="1">
      <x:c r="B45" s="312" t="str">
        <x:f>'📊 BSC Completo'!J10</x:f>
        <x:v>KPI-07</x:v>
      </x:c>
      <x:c r="C45" s="312" t="str">
        <x:f>'📊 BSC Completo'!D10</x:f>
        <x:v>Ratio Costo Operativo / Ingreso</x:v>
      </x:c>
      <x:c r="D45" s="312"/>
      <x:c r="E45" s="312"/>
      <x:c r="F45" s="312"/>
      <x:c r="G45" s="400"/>
      <x:c r="H45" s="403" t="n">
        <x:f>IF(ISNUMBER('📊 BSC Completo'!F10),'📊 BSC Completo'!F10,"")</x:f>
        <x:v>55</x:v>
      </x:c>
      <x:c r="I45" s="403"/>
      <x:c r="J45" s="403" t="n">
        <x:f>IF(ISNUMBER('📊 BSC Completo'!G10),'📊 BSC Completo'!G10,"")</x:f>
        <x:v>58.2</x:v>
      </x:c>
      <x:c r="K45" s="403"/>
      <x:c r="L45" s="404" t="n">
        <x:f>IF(ISNUMBER('📊 BSC Completo'!H10),'📊 BSC Completo'!H10,"")</x:f>
        <x:v>0.9450171821305842</x:v>
      </x:c>
      <x:c r="M45" s="404"/>
      <x:c r="N45" s="401" t="str">
        <x:f>'📊 BSC Completo'!I10</x:f>
        <x:v>EN RIESGO</x:v>
      </x:c>
      <x:c r="O45" s="401"/>
      <x:c r="P45" s="401"/>
      <x:c r="Q45" s="304"/>
    </x:row>
    <x:row r="46" ht="32" customHeight="1">
      <x:c r="B46" s="590" t="str">
        <x:f>'📊 BSC Completo'!J11</x:f>
        <x:v>KPI-08</x:v>
      </x:c>
      <x:c r="C46" s="590" t="str">
        <x:f>'📊 BSC Completo'!D11</x:f>
        <x:v>Costo de Adquisición de Cliente (CAC)</x:v>
      </x:c>
      <x:c r="D46" s="590"/>
      <x:c r="E46" s="590"/>
      <x:c r="F46" s="590"/>
      <x:c r="G46" s="428"/>
      <x:c r="H46" s="426" t="n">
        <x:f>IF(ISNUMBER('📊 BSC Completo'!F11),'📊 BSC Completo'!F11,"")</x:f>
        <x:v>350</x:v>
      </x:c>
      <x:c r="I46" s="426"/>
      <x:c r="J46" s="426" t="n">
        <x:f>IF(ISNUMBER('📊 BSC Completo'!G11),'📊 BSC Completo'!G11,"")</x:f>
        <x:v>412</x:v>
      </x:c>
      <x:c r="K46" s="426"/>
      <x:c r="L46" s="427" t="n">
        <x:f>IF(ISNUMBER('📊 BSC Completo'!H11),'📊 BSC Completo'!H11,"")</x:f>
        <x:v>0.8495145631067961</x:v>
      </x:c>
      <x:c r="M46" s="427"/>
      <x:c r="N46" s="425" t="str">
        <x:f>'📊 BSC Completo'!I11</x:f>
        <x:v>EN RIESGO</x:v>
      </x:c>
      <x:c r="O46" s="425"/>
      <x:c r="P46" s="425"/>
      <x:c r="Q46" s="304"/>
    </x:row>
    <x:row r="47" ht="32" customHeight="1">
      <x:c r="B47" s="312" t="str">
        <x:f>'📊 BSC Completo'!J12</x:f>
        <x:v>KPI-09</x:v>
      </x:c>
      <x:c r="C47" s="312" t="str">
        <x:f>'📊 BSC Completo'!D12</x:f>
        <x:v>Retorno sobre Activos (ROA)</x:v>
      </x:c>
      <x:c r="D47" s="312"/>
      <x:c r="E47" s="312"/>
      <x:c r="F47" s="312"/>
      <x:c r="G47" s="400"/>
      <x:c r="H47" s="403" t="n">
        <x:f>IF(ISNUMBER('📊 BSC Completo'!F12),'📊 BSC Completo'!F12,"")</x:f>
        <x:v>9</x:v>
      </x:c>
      <x:c r="I47" s="403"/>
      <x:c r="J47" s="403" t="n">
        <x:f>IF(ISNUMBER('📊 BSC Completo'!G12),'📊 BSC Completo'!G12,"")</x:f>
        <x:v>7.8</x:v>
      </x:c>
      <x:c r="K47" s="403"/>
      <x:c r="L47" s="404" t="n">
        <x:f>IF(ISNUMBER('📊 BSC Completo'!H12),'📊 BSC Completo'!H12,"")</x:f>
        <x:v>0.8666666666666667</x:v>
      </x:c>
      <x:c r="M47" s="404"/>
      <x:c r="N47" s="401" t="str">
        <x:f>'📊 BSC Completo'!I12</x:f>
        <x:v>EN RIESGO</x:v>
      </x:c>
      <x:c r="O47" s="401"/>
      <x:c r="P47" s="401"/>
      <x:c r="Q47" s="304"/>
    </x:row>
    <x:row r="48" ht="32" customHeight="1">
      <x:c r="B48" s="590" t="str">
        <x:f>'📊 BSC Completo'!J14</x:f>
        <x:v>KPI-10</x:v>
      </x:c>
      <x:c r="C48" s="590" t="str">
        <x:f>'📊 BSC Completo'!D14</x:f>
        <x:v>NPS – Net Promoter Score</x:v>
      </x:c>
      <x:c r="D48" s="590"/>
      <x:c r="E48" s="590"/>
      <x:c r="F48" s="590"/>
      <x:c r="G48" s="428"/>
      <x:c r="H48" s="426" t="n">
        <x:f>IF(ISNUMBER('📊 BSC Completo'!F14),'📊 BSC Completo'!F14,"")</x:f>
        <x:v>65</x:v>
      </x:c>
      <x:c r="I48" s="426"/>
      <x:c r="J48" s="426" t="n">
        <x:f>IF(ISNUMBER('📊 BSC Completo'!G14),'📊 BSC Completo'!G14,"")</x:f>
        <x:v>58</x:v>
      </x:c>
      <x:c r="K48" s="426"/>
      <x:c r="L48" s="427" t="n">
        <x:f>IF(ISNUMBER('📊 BSC Completo'!H14),'📊 BSC Completo'!H14,"")</x:f>
        <x:v>0.8923076923076924</x:v>
      </x:c>
      <x:c r="M48" s="427"/>
      <x:c r="N48" s="425" t="str">
        <x:f>'📊 BSC Completo'!I14</x:f>
        <x:v>EN RIESGO</x:v>
      </x:c>
      <x:c r="O48" s="425"/>
      <x:c r="P48" s="425"/>
      <x:c r="Q48" s="304"/>
    </x:row>
    <x:row r="49" ht="32" customHeight="1">
      <x:c r="B49" s="312" t="str">
        <x:f>'📊 BSC Completo'!J15</x:f>
        <x:v>KPI-11</x:v>
      </x:c>
      <x:c r="C49" s="312" t="str">
        <x:f>'📊 BSC Completo'!D15</x:f>
        <x:v>CSAT – Satisfacción post-venta</x:v>
      </x:c>
      <x:c r="D49" s="312"/>
      <x:c r="E49" s="312"/>
      <x:c r="F49" s="312"/>
      <x:c r="G49" s="400"/>
      <x:c r="H49" s="403" t="n">
        <x:f>IF(ISNUMBER('📊 BSC Completo'!F15),'📊 BSC Completo'!F15,"")</x:f>
        <x:v>88</x:v>
      </x:c>
      <x:c r="I49" s="403"/>
      <x:c r="J49" s="403" t="n">
        <x:f>IF(ISNUMBER('📊 BSC Completo'!G15),'📊 BSC Completo'!G15,"")</x:f>
        <x:v>84</x:v>
      </x:c>
      <x:c r="K49" s="403"/>
      <x:c r="L49" s="404" t="n">
        <x:f>IF(ISNUMBER('📊 BSC Completo'!H15),'📊 BSC Completo'!H15,"")</x:f>
        <x:v>0.9545454545454546</x:v>
      </x:c>
      <x:c r="M49" s="404"/>
      <x:c r="N49" s="401" t="str">
        <x:f>'📊 BSC Completo'!I15</x:f>
        <x:v>EN RIESGO</x:v>
      </x:c>
      <x:c r="O49" s="401"/>
      <x:c r="P49" s="401"/>
      <x:c r="Q49" s="304"/>
    </x:row>
    <x:row r="50" ht="32" customHeight="1">
      <x:c r="B50" s="590" t="str">
        <x:f>'📊 BSC Completo'!J16</x:f>
        <x:v>KPI-12</x:v>
      </x:c>
      <x:c r="C50" s="590" t="str">
        <x:f>'📊 BSC Completo'!D16</x:f>
        <x:v>Tiempo de Resolución de Quejas</x:v>
      </x:c>
      <x:c r="D50" s="590"/>
      <x:c r="E50" s="590"/>
      <x:c r="F50" s="590"/>
      <x:c r="G50" s="428"/>
      <x:c r="H50" s="426" t="n">
        <x:f>IF(ISNUMBER('📊 BSC Completo'!F16),'📊 BSC Completo'!F16,"")</x:f>
        <x:v>2</x:v>
      </x:c>
      <x:c r="I50" s="426"/>
      <x:c r="J50" s="426" t="n">
        <x:f>IF(ISNUMBER('📊 BSC Completo'!G16),'📊 BSC Completo'!G16,"")</x:f>
        <x:v>2.8</x:v>
      </x:c>
      <x:c r="K50" s="426"/>
      <x:c r="L50" s="427" t="n">
        <x:f>IF(ISNUMBER('📊 BSC Completo'!H16),'📊 BSC Completo'!H16,"")</x:f>
        <x:v>0.7142857142857143</x:v>
      </x:c>
      <x:c r="M50" s="427"/>
      <x:c r="N50" s="425" t="str">
        <x:f>'📊 BSC Completo'!I16</x:f>
        <x:v>CRÍTICO</x:v>
      </x:c>
      <x:c r="O50" s="425"/>
      <x:c r="P50" s="425"/>
      <x:c r="Q50" s="304"/>
    </x:row>
    <x:row r="51" ht="32" customHeight="1">
      <x:c r="B51" s="312" t="str">
        <x:f>'📊 BSC Completo'!J17</x:f>
        <x:v>KPI-13</x:v>
      </x:c>
      <x:c r="C51" s="312" t="str">
        <x:f>'📊 BSC Completo'!D17</x:f>
        <x:v>Tasa de Retención de Clientes</x:v>
      </x:c>
      <x:c r="D51" s="312"/>
      <x:c r="E51" s="312"/>
      <x:c r="F51" s="312"/>
      <x:c r="G51" s="400"/>
      <x:c r="H51" s="403" t="n">
        <x:f>IF(ISNUMBER('📊 BSC Completo'!F17),'📊 BSC Completo'!F17,"")</x:f>
        <x:v>90</x:v>
      </x:c>
      <x:c r="I51" s="403"/>
      <x:c r="J51" s="403" t="n">
        <x:f>IF(ISNUMBER('📊 BSC Completo'!G17),'📊 BSC Completo'!G17,"")</x:f>
        <x:v>87</x:v>
      </x:c>
      <x:c r="K51" s="403"/>
      <x:c r="L51" s="404" t="n">
        <x:f>IF(ISNUMBER('📊 BSC Completo'!H17),'📊 BSC Completo'!H17,"")</x:f>
        <x:v>0.9666666666666667</x:v>
      </x:c>
      <x:c r="M51" s="404"/>
      <x:c r="N51" s="401" t="str">
        <x:f>'📊 BSC Completo'!I17</x:f>
        <x:v>EN RIESGO</x:v>
      </x:c>
      <x:c r="O51" s="401"/>
      <x:c r="P51" s="401"/>
      <x:c r="Q51" s="304"/>
    </x:row>
    <x:row r="52" ht="32" customHeight="1">
      <x:c r="B52" s="590" t="str">
        <x:f>'📊 BSC Completo'!J18</x:f>
        <x:v>KPI-14</x:v>
      </x:c>
      <x:c r="C52" s="590" t="str">
        <x:f>'📊 BSC Completo'!D18</x:f>
        <x:v>Tasa de Recompra (Repeat Purchase)</x:v>
      </x:c>
      <x:c r="D52" s="590"/>
      <x:c r="E52" s="590"/>
      <x:c r="F52" s="590"/>
      <x:c r="G52" s="428"/>
      <x:c r="H52" s="426" t="n">
        <x:f>IF(ISNUMBER('📊 BSC Completo'!F18),'📊 BSC Completo'!F18,"")</x:f>
        <x:v>55</x:v>
      </x:c>
      <x:c r="I52" s="426"/>
      <x:c r="J52" s="426" t="n">
        <x:f>IF(ISNUMBER('📊 BSC Completo'!G18),'📊 BSC Completo'!G18,"")</x:f>
        <x:v>49</x:v>
      </x:c>
      <x:c r="K52" s="426"/>
      <x:c r="L52" s="427" t="n">
        <x:f>IF(ISNUMBER('📊 BSC Completo'!H18),'📊 BSC Completo'!H18,"")</x:f>
        <x:v>0.8909090909090909</x:v>
      </x:c>
      <x:c r="M52" s="427"/>
      <x:c r="N52" s="425" t="str">
        <x:f>'📊 BSC Completo'!I18</x:f>
        <x:v>EN RIESGO</x:v>
      </x:c>
      <x:c r="O52" s="425"/>
      <x:c r="P52" s="425"/>
      <x:c r="Q52" s="304"/>
    </x:row>
    <x:row r="53" ht="32" customHeight="1">
      <x:c r="B53" s="312" t="str">
        <x:f>'📊 BSC Completo'!J19</x:f>
        <x:v>KPI-15</x:v>
      </x:c>
      <x:c r="C53" s="312" t="str">
        <x:f>'📊 BSC Completo'!D19</x:f>
        <x:v>Churn Rate (Tasa de Abandono)</x:v>
      </x:c>
      <x:c r="D53" s="312"/>
      <x:c r="E53" s="312"/>
      <x:c r="F53" s="312"/>
      <x:c r="G53" s="400"/>
      <x:c r="H53" s="403" t="n">
        <x:f>IF(ISNUMBER('📊 BSC Completo'!F19),'📊 BSC Completo'!F19,"")</x:f>
        <x:v>5</x:v>
      </x:c>
      <x:c r="I53" s="403"/>
      <x:c r="J53" s="403" t="n">
        <x:f>IF(ISNUMBER('📊 BSC Completo'!G19),'📊 BSC Completo'!G19,"")</x:f>
        <x:v>7.2</x:v>
      </x:c>
      <x:c r="K53" s="403"/>
      <x:c r="L53" s="404" t="n">
        <x:f>IF(ISNUMBER('📊 BSC Completo'!H19),'📊 BSC Completo'!H19,"")</x:f>
        <x:v>0.6944444444444444</x:v>
      </x:c>
      <x:c r="M53" s="404"/>
      <x:c r="N53" s="401" t="str">
        <x:f>'📊 BSC Completo'!I19</x:f>
        <x:v>CRÍTICO</x:v>
      </x:c>
      <x:c r="O53" s="401"/>
      <x:c r="P53" s="401"/>
      <x:c r="Q53" s="304"/>
    </x:row>
    <x:row r="54" ht="32" customHeight="1">
      <x:c r="B54" s="590" t="str">
        <x:f>'📊 BSC Completo'!J20</x:f>
        <x:v>KPI-16</x:v>
      </x:c>
      <x:c r="C54" s="590" t="str">
        <x:f>'📊 BSC Completo'!D20</x:f>
        <x:v>Nuevos Clientes Adquiridos</x:v>
      </x:c>
      <x:c r="D54" s="590"/>
      <x:c r="E54" s="590"/>
      <x:c r="F54" s="590"/>
      <x:c r="G54" s="428"/>
      <x:c r="H54" s="426" t="n">
        <x:f>IF(ISNUMBER('📊 BSC Completo'!F20),'📊 BSC Completo'!F20,"")</x:f>
        <x:v>120</x:v>
      </x:c>
      <x:c r="I54" s="426"/>
      <x:c r="J54" s="426" t="n">
        <x:f>IF(ISNUMBER('📊 BSC Completo'!G20),'📊 BSC Completo'!G20,"")</x:f>
        <x:v>105</x:v>
      </x:c>
      <x:c r="K54" s="426"/>
      <x:c r="L54" s="427" t="n">
        <x:f>IF(ISNUMBER('📊 BSC Completo'!H20),'📊 BSC Completo'!H20,"")</x:f>
        <x:v>0.875</x:v>
      </x:c>
      <x:c r="M54" s="427"/>
      <x:c r="N54" s="425" t="str">
        <x:f>'📊 BSC Completo'!I20</x:f>
        <x:v>EN RIESGO</x:v>
      </x:c>
      <x:c r="O54" s="425"/>
      <x:c r="P54" s="425"/>
      <x:c r="Q54" s="304"/>
    </x:row>
    <x:row r="55" ht="32" customHeight="1">
      <x:c r="B55" s="312" t="str">
        <x:f>'📊 BSC Completo'!J21</x:f>
        <x:v>KPI-17</x:v>
      </x:c>
      <x:c r="C55" s="312" t="str">
        <x:f>'📊 BSC Completo'!D21</x:f>
        <x:v>Cuota de Mercado</x:v>
      </x:c>
      <x:c r="D55" s="312"/>
      <x:c r="E55" s="312"/>
      <x:c r="F55" s="312"/>
      <x:c r="G55" s="400"/>
      <x:c r="H55" s="403" t="n">
        <x:f>IF(ISNUMBER('📊 BSC Completo'!F21),'📊 BSC Completo'!F21,"")</x:f>
        <x:v>8.5</x:v>
      </x:c>
      <x:c r="I55" s="403"/>
      <x:c r="J55" s="403" t="n">
        <x:f>IF(ISNUMBER('📊 BSC Completo'!G21),'📊 BSC Completo'!G21,"")</x:f>
        <x:v>7.8</x:v>
      </x:c>
      <x:c r="K55" s="403"/>
      <x:c r="L55" s="404" t="n">
        <x:f>IF(ISNUMBER('📊 BSC Completo'!H21),'📊 BSC Completo'!H21,"")</x:f>
        <x:v>0.9176470588235294</x:v>
      </x:c>
      <x:c r="M55" s="404"/>
      <x:c r="N55" s="401" t="str">
        <x:f>'📊 BSC Completo'!I21</x:f>
        <x:v>EN RIESGO</x:v>
      </x:c>
      <x:c r="O55" s="401"/>
      <x:c r="P55" s="401"/>
      <x:c r="Q55" s="304"/>
    </x:row>
    <x:row r="56" ht="32" customHeight="1">
      <x:c r="B56" s="590" t="str">
        <x:f>'📊 BSC Completo'!J22</x:f>
        <x:v>KPI-18</x:v>
      </x:c>
      <x:c r="C56" s="590" t="str">
        <x:f>'📊 BSC Completo'!D22</x:f>
        <x:v>Costo por Lead Calificado</x:v>
      </x:c>
      <x:c r="D56" s="590"/>
      <x:c r="E56" s="590"/>
      <x:c r="F56" s="590"/>
      <x:c r="G56" s="428"/>
      <x:c r="H56" s="426" t="n">
        <x:f>IF(ISNUMBER('📊 BSC Completo'!F22),'📊 BSC Completo'!F22,"")</x:f>
        <x:v>180</x:v>
      </x:c>
      <x:c r="I56" s="426"/>
      <x:c r="J56" s="426" t="n">
        <x:f>IF(ISNUMBER('📊 BSC Completo'!G22),'📊 BSC Completo'!G22,"")</x:f>
        <x:v>215</x:v>
      </x:c>
      <x:c r="K56" s="426"/>
      <x:c r="L56" s="427" t="n">
        <x:f>IF(ISNUMBER('📊 BSC Completo'!H22),'📊 BSC Completo'!H22,"")</x:f>
        <x:v>0.8372093023255814</x:v>
      </x:c>
      <x:c r="M56" s="427"/>
      <x:c r="N56" s="425" t="str">
        <x:f>'📊 BSC Completo'!I22</x:f>
        <x:v>EN RIESGO</x:v>
      </x:c>
      <x:c r="O56" s="425"/>
      <x:c r="P56" s="425"/>
      <x:c r="Q56" s="304"/>
    </x:row>
    <x:row r="57" ht="32" customHeight="1">
      <x:c r="B57" s="312" t="str">
        <x:f>'📊 BSC Completo'!J24</x:f>
        <x:v>KPI-19</x:v>
      </x:c>
      <x:c r="C57" s="312" t="str">
        <x:f>'📊 BSC Completo'!D24</x:f>
        <x:v>Tiempo Promedio de Entrega al Cliente</x:v>
      </x:c>
      <x:c r="D57" s="312"/>
      <x:c r="E57" s="312"/>
      <x:c r="F57" s="312"/>
      <x:c r="G57" s="400"/>
      <x:c r="H57" s="403" t="n">
        <x:f>IF(ISNUMBER('📊 BSC Completo'!F24),'📊 BSC Completo'!F24,"")</x:f>
        <x:v>3</x:v>
      </x:c>
      <x:c r="I57" s="403"/>
      <x:c r="J57" s="403" t="n">
        <x:f>IF(ISNUMBER('📊 BSC Completo'!G24),'📊 BSC Completo'!G24,"")</x:f>
        <x:v>3.5</x:v>
      </x:c>
      <x:c r="K57" s="403"/>
      <x:c r="L57" s="404" t="n">
        <x:f>IF(ISNUMBER('📊 BSC Completo'!H24),'📊 BSC Completo'!H24,"")</x:f>
        <x:v>0.8571428571428571</x:v>
      </x:c>
      <x:c r="M57" s="404"/>
      <x:c r="N57" s="401" t="str">
        <x:f>'📊 BSC Completo'!I24</x:f>
        <x:v>EN RIESGO</x:v>
      </x:c>
      <x:c r="O57" s="401"/>
      <x:c r="P57" s="401"/>
      <x:c r="Q57" s="304"/>
    </x:row>
    <x:row r="58" ht="32" customHeight="1">
      <x:c r="B58" s="590" t="str">
        <x:f>'📊 BSC Completo'!J25</x:f>
        <x:v>KPI-20</x:v>
      </x:c>
      <x:c r="C58" s="590" t="str">
        <x:f>'📊 BSC Completo'!D25</x:f>
        <x:v>Tasa de Defectos / Reclamos</x:v>
      </x:c>
      <x:c r="D58" s="590"/>
      <x:c r="E58" s="590"/>
      <x:c r="F58" s="590"/>
      <x:c r="G58" s="428"/>
      <x:c r="H58" s="426" t="n">
        <x:f>IF(ISNUMBER('📊 BSC Completo'!F25),'📊 BSC Completo'!F25,"")</x:f>
        <x:v>2</x:v>
      </x:c>
      <x:c r="I58" s="426"/>
      <x:c r="J58" s="426" t="n">
        <x:f>IF(ISNUMBER('📊 BSC Completo'!G25),'📊 BSC Completo'!G25,"")</x:f>
        <x:v>2.8</x:v>
      </x:c>
      <x:c r="K58" s="426"/>
      <x:c r="L58" s="427" t="n">
        <x:f>IF(ISNUMBER('📊 BSC Completo'!H25),'📊 BSC Completo'!H25,"")</x:f>
        <x:v>0.7142857142857143</x:v>
      </x:c>
      <x:c r="M58" s="427"/>
      <x:c r="N58" s="425" t="str">
        <x:f>'📊 BSC Completo'!I25</x:f>
        <x:v>CRÍTICO</x:v>
      </x:c>
      <x:c r="O58" s="425"/>
      <x:c r="P58" s="425"/>
      <x:c r="Q58" s="304"/>
    </x:row>
    <x:row r="59" ht="32" customHeight="1">
      <x:c r="B59" s="312" t="str">
        <x:f>'📊 BSC Completo'!J26</x:f>
        <x:v>KPI-21</x:v>
      </x:c>
      <x:c r="C59" s="312" t="str">
        <x:f>'📊 BSC Completo'!D26</x:f>
        <x:v>Productividad por Empleado</x:v>
      </x:c>
      <x:c r="D59" s="312"/>
      <x:c r="E59" s="312"/>
      <x:c r="F59" s="312"/>
      <x:c r="G59" s="400"/>
      <x:c r="H59" s="403" t="n">
        <x:f>IF(ISNUMBER('📊 BSC Completo'!F26),'📊 BSC Completo'!F26,"")</x:f>
        <x:v>0.25</x:v>
      </x:c>
      <x:c r="I59" s="403"/>
      <x:c r="J59" s="403" t="n">
        <x:f>IF(ISNUMBER('📊 BSC Completo'!G26),'📊 BSC Completo'!G26,"")</x:f>
        <x:v>0.22</x:v>
      </x:c>
      <x:c r="K59" s="403"/>
      <x:c r="L59" s="404" t="n">
        <x:f>IF(ISNUMBER('📊 BSC Completo'!H26),'📊 BSC Completo'!H26,"")</x:f>
        <x:v>0.88</x:v>
      </x:c>
      <x:c r="M59" s="404"/>
      <x:c r="N59" s="401" t="str">
        <x:f>'📊 BSC Completo'!I26</x:f>
        <x:v>EN RIESGO</x:v>
      </x:c>
      <x:c r="O59" s="401"/>
      <x:c r="P59" s="401"/>
      <x:c r="Q59" s="304"/>
    </x:row>
    <x:row r="60" ht="32" customHeight="1">
      <x:c r="B60" s="590" t="str">
        <x:f>'📊 BSC Completo'!J27</x:f>
        <x:v>KPI-22</x:v>
      </x:c>
      <x:c r="C60" s="590" t="str">
        <x:f>'📊 BSC Completo'!D27</x:f>
        <x:v>N° Lanzamientos de Nuevos Productos</x:v>
      </x:c>
      <x:c r="D60" s="590"/>
      <x:c r="E60" s="590"/>
      <x:c r="F60" s="590"/>
      <x:c r="G60" s="428"/>
      <x:c r="H60" s="426" t="n">
        <x:f>IF(ISNUMBER('📊 BSC Completo'!F27),'📊 BSC Completo'!F27,"")</x:f>
        <x:v>4</x:v>
      </x:c>
      <x:c r="I60" s="426"/>
      <x:c r="J60" s="426" t="n">
        <x:f>IF(ISNUMBER('📊 BSC Completo'!G27),'📊 BSC Completo'!G27,"")</x:f>
        <x:v>3</x:v>
      </x:c>
      <x:c r="K60" s="426"/>
      <x:c r="L60" s="427" t="n">
        <x:f>IF(ISNUMBER('📊 BSC Completo'!H27),'📊 BSC Completo'!H27,"")</x:f>
        <x:v>0.75</x:v>
      </x:c>
      <x:c r="M60" s="427"/>
      <x:c r="N60" s="425" t="str">
        <x:f>'📊 BSC Completo'!I27</x:f>
        <x:v>CRÍTICO</x:v>
      </x:c>
      <x:c r="O60" s="425"/>
      <x:c r="P60" s="425"/>
      <x:c r="Q60" s="304"/>
    </x:row>
    <x:row r="61" ht="32" customHeight="1">
      <x:c r="B61" s="312" t="str">
        <x:f>'📊 BSC Completo'!J28</x:f>
        <x:v>KPI-23</x:v>
      </x:c>
      <x:c r="C61" s="312" t="str">
        <x:f>'📊 BSC Completo'!D28</x:f>
        <x:v>Time-to-Market (lanzamiento)</x:v>
      </x:c>
      <x:c r="D61" s="312"/>
      <x:c r="E61" s="312"/>
      <x:c r="F61" s="312"/>
      <x:c r="G61" s="400"/>
      <x:c r="H61" s="403" t="n">
        <x:f>IF(ISNUMBER('📊 BSC Completo'!F28),'📊 BSC Completo'!F28,"")</x:f>
        <x:v>12</x:v>
      </x:c>
      <x:c r="I61" s="403"/>
      <x:c r="J61" s="403" t="n">
        <x:f>IF(ISNUMBER('📊 BSC Completo'!G28),'📊 BSC Completo'!G28,"")</x:f>
        <x:v>15</x:v>
      </x:c>
      <x:c r="K61" s="403"/>
      <x:c r="L61" s="404" t="n">
        <x:f>IF(ISNUMBER('📊 BSC Completo'!H28),'📊 BSC Completo'!H28,"")</x:f>
        <x:v>0.8</x:v>
      </x:c>
      <x:c r="M61" s="404"/>
      <x:c r="N61" s="401" t="str">
        <x:f>'📊 BSC Completo'!I28</x:f>
        <x:v>EN RIESGO</x:v>
      </x:c>
      <x:c r="O61" s="401"/>
      <x:c r="P61" s="401"/>
      <x:c r="Q61" s="304"/>
    </x:row>
    <x:row r="62" ht="32" customHeight="1">
      <x:c r="B62" s="590" t="str">
        <x:f>'📊 BSC Completo'!J29</x:f>
        <x:v>KPI-24</x:v>
      </x:c>
      <x:c r="C62" s="590" t="str">
        <x:f>'📊 BSC Completo'!D29</x:f>
        <x:v>% Ingresos de Productos &lt; 2 años</x:v>
      </x:c>
      <x:c r="D62" s="590"/>
      <x:c r="E62" s="590"/>
      <x:c r="F62" s="590"/>
      <x:c r="G62" s="428"/>
      <x:c r="H62" s="426" t="n">
        <x:f>IF(ISNUMBER('📊 BSC Completo'!F29),'📊 BSC Completo'!F29,"")</x:f>
        <x:v>25</x:v>
      </x:c>
      <x:c r="I62" s="426"/>
      <x:c r="J62" s="426" t="n">
        <x:f>IF(ISNUMBER('📊 BSC Completo'!G29),'📊 BSC Completo'!G29,"")</x:f>
        <x:v>18</x:v>
      </x:c>
      <x:c r="K62" s="426"/>
      <x:c r="L62" s="427" t="n">
        <x:f>IF(ISNUMBER('📊 BSC Completo'!H29),'📊 BSC Completo'!H29,"")</x:f>
        <x:v>0.72</x:v>
      </x:c>
      <x:c r="M62" s="427"/>
      <x:c r="N62" s="425" t="str">
        <x:f>'📊 BSC Completo'!I29</x:f>
        <x:v>CRÍTICO</x:v>
      </x:c>
      <x:c r="O62" s="425"/>
      <x:c r="P62" s="425"/>
      <x:c r="Q62" s="304"/>
    </x:row>
    <x:row r="63" ht="32" customHeight="1">
      <x:c r="B63" s="312" t="str">
        <x:f>'📊 BSC Completo'!J30</x:f>
        <x:v>KPI-25</x:v>
      </x:c>
      <x:c r="C63" s="312" t="str">
        <x:f>'📊 BSC Completo'!D30</x:f>
        <x:v>On-Time Delivery de Proveedores (OTD)</x:v>
      </x:c>
      <x:c r="D63" s="312"/>
      <x:c r="E63" s="312"/>
      <x:c r="F63" s="312"/>
      <x:c r="G63" s="400"/>
      <x:c r="H63" s="403" t="n">
        <x:f>IF(ISNUMBER('📊 BSC Completo'!F30),'📊 BSC Completo'!F30,"")</x:f>
        <x:v>95</x:v>
      </x:c>
      <x:c r="I63" s="403"/>
      <x:c r="J63" s="403" t="n">
        <x:f>IF(ISNUMBER('📊 BSC Completo'!G30),'📊 BSC Completo'!G30,"")</x:f>
        <x:v>92</x:v>
      </x:c>
      <x:c r="K63" s="403"/>
      <x:c r="L63" s="404" t="n">
        <x:f>IF(ISNUMBER('📊 BSC Completo'!H30),'📊 BSC Completo'!H30,"")</x:f>
        <x:v>0.968421052631579</x:v>
      </x:c>
      <x:c r="M63" s="404"/>
      <x:c r="N63" s="401" t="str">
        <x:f>'📊 BSC Completo'!I30</x:f>
        <x:v>EN RIESGO</x:v>
      </x:c>
      <x:c r="O63" s="401"/>
      <x:c r="P63" s="401"/>
      <x:c r="Q63" s="304"/>
    </x:row>
    <x:row r="64" ht="32" customHeight="1">
      <x:c r="B64" s="590" t="str">
        <x:f>'📊 BSC Completo'!J31</x:f>
        <x:v>KPI-26</x:v>
      </x:c>
      <x:c r="C64" s="590" t="str">
        <x:f>'📊 BSC Completo'!D31</x:f>
        <x:v>N° Incidencias con Proveedores</x:v>
      </x:c>
      <x:c r="D64" s="590"/>
      <x:c r="E64" s="590"/>
      <x:c r="F64" s="590"/>
      <x:c r="G64" s="428"/>
      <x:c r="H64" s="426" t="n">
        <x:f>IF(ISNUMBER('📊 BSC Completo'!F31),'📊 BSC Completo'!F31,"")</x:f>
        <x:v>5</x:v>
      </x:c>
      <x:c r="I64" s="426"/>
      <x:c r="J64" s="426" t="n">
        <x:f>IF(ISNUMBER('📊 BSC Completo'!G31),'📊 BSC Completo'!G31,"")</x:f>
        <x:v>8</x:v>
      </x:c>
      <x:c r="K64" s="426"/>
      <x:c r="L64" s="427" t="n">
        <x:f>IF(ISNUMBER('📊 BSC Completo'!H31),'📊 BSC Completo'!H31,"")</x:f>
        <x:v>0.625</x:v>
      </x:c>
      <x:c r="M64" s="427"/>
      <x:c r="N64" s="425" t="str">
        <x:f>'📊 BSC Completo'!I31</x:f>
        <x:v>CRÍTICO</x:v>
      </x:c>
      <x:c r="O64" s="425"/>
      <x:c r="P64" s="425"/>
      <x:c r="Q64" s="304"/>
    </x:row>
    <x:row r="65" ht="32" customHeight="1">
      <x:c r="B65" s="312" t="str">
        <x:f>'📊 BSC Completo'!J32</x:f>
        <x:v>KPI-27</x:v>
      </x:c>
      <x:c r="C65" s="312" t="str">
        <x:f>'📊 BSC Completo'!D32</x:f>
        <x:v>Costo de Inventario sobre Ventas</x:v>
      </x:c>
      <x:c r="D65" s="312"/>
      <x:c r="E65" s="312"/>
      <x:c r="F65" s="312"/>
      <x:c r="G65" s="400"/>
      <x:c r="H65" s="403" t="n">
        <x:f>IF(ISNUMBER('📊 BSC Completo'!F32),'📊 BSC Completo'!F32,"")</x:f>
        <x:v>12</x:v>
      </x:c>
      <x:c r="I65" s="403"/>
      <x:c r="J65" s="403" t="n">
        <x:f>IF(ISNUMBER('📊 BSC Completo'!G32),'📊 BSC Completo'!G32,"")</x:f>
        <x:v>14.5</x:v>
      </x:c>
      <x:c r="K65" s="403"/>
      <x:c r="L65" s="404" t="n">
        <x:f>IF(ISNUMBER('📊 BSC Completo'!H32),'📊 BSC Completo'!H32,"")</x:f>
        <x:v>0.8275862068965517</x:v>
      </x:c>
      <x:c r="M65" s="404"/>
      <x:c r="N65" s="401" t="str">
        <x:f>'📊 BSC Completo'!I32</x:f>
        <x:v>EN RIESGO</x:v>
      </x:c>
      <x:c r="O65" s="401"/>
      <x:c r="P65" s="401"/>
      <x:c r="Q65" s="304"/>
    </x:row>
    <x:row r="66" ht="32" customHeight="1">
      <x:c r="B66" s="590" t="str">
        <x:f>'📊 BSC Completo'!J34</x:f>
        <x:v>KPI-28</x:v>
      </x:c>
      <x:c r="C66" s="590" t="str">
        <x:f>'📊 BSC Completo'!D34</x:f>
        <x:v>Horas de Capacitación por Empleado</x:v>
      </x:c>
      <x:c r="D66" s="590"/>
      <x:c r="E66" s="590"/>
      <x:c r="F66" s="590"/>
      <x:c r="G66" s="428"/>
      <x:c r="H66" s="426" t="n">
        <x:f>IF(ISNUMBER('📊 BSC Completo'!F34),'📊 BSC Completo'!F34,"")</x:f>
        <x:v>40</x:v>
      </x:c>
      <x:c r="I66" s="426"/>
      <x:c r="J66" s="426" t="n">
        <x:f>IF(ISNUMBER('📊 BSC Completo'!G34),'📊 BSC Completo'!G34,"")</x:f>
        <x:v>35</x:v>
      </x:c>
      <x:c r="K66" s="426"/>
      <x:c r="L66" s="427" t="n">
        <x:f>IF(ISNUMBER('📊 BSC Completo'!H34),'📊 BSC Completo'!H34,"")</x:f>
        <x:v>0.875</x:v>
      </x:c>
      <x:c r="M66" s="427"/>
      <x:c r="N66" s="425" t="str">
        <x:f>'📊 BSC Completo'!I34</x:f>
        <x:v>EN RIESGO</x:v>
      </x:c>
      <x:c r="O66" s="425"/>
      <x:c r="P66" s="425"/>
      <x:c r="Q66" s="242"/>
    </x:row>
    <x:row r="67" ht="32" customHeight="1">
      <x:c r="B67" s="312" t="str">
        <x:f>'📊 BSC Completo'!J35</x:f>
        <x:v>KPI-29</x:v>
      </x:c>
      <x:c r="C67" s="312" t="str">
        <x:f>'📊 BSC Completo'!D35</x:f>
        <x:v>% Empleados con Plan de Desarrollo</x:v>
      </x:c>
      <x:c r="D67" s="312"/>
      <x:c r="E67" s="312"/>
      <x:c r="F67" s="312"/>
      <x:c r="G67" s="400"/>
      <x:c r="H67" s="403" t="n">
        <x:f>IF(ISNUMBER('📊 BSC Completo'!F35),'📊 BSC Completo'!F35,"")</x:f>
        <x:v>80</x:v>
      </x:c>
      <x:c r="I67" s="403"/>
      <x:c r="J67" s="403" t="n">
        <x:f>IF(ISNUMBER('📊 BSC Completo'!G35),'📊 BSC Completo'!G35,"")</x:f>
        <x:v>72</x:v>
      </x:c>
      <x:c r="K67" s="403"/>
      <x:c r="L67" s="404" t="n">
        <x:f>IF(ISNUMBER('📊 BSC Completo'!H35),'📊 BSC Completo'!H35,"")</x:f>
        <x:v>0.9</x:v>
      </x:c>
      <x:c r="M67" s="404"/>
      <x:c r="N67" s="401" t="str">
        <x:f>'📊 BSC Completo'!I35</x:f>
        <x:v>EN RIESGO</x:v>
      </x:c>
      <x:c r="O67" s="401"/>
      <x:c r="P67" s="401"/>
      <x:c r="Q67" s="242"/>
    </x:row>
    <x:row r="68" ht="32" customHeight="1">
      <x:c r="B68" s="590" t="str">
        <x:f>'📊 BSC Completo'!J36</x:f>
        <x:v>KPI-30</x:v>
      </x:c>
      <x:c r="C68" s="590" t="str">
        <x:f>'📊 BSC Completo'!D36</x:f>
        <x:v>Índice de Competencias Clave Cubiertas</x:v>
      </x:c>
      <x:c r="D68" s="590"/>
      <x:c r="E68" s="590"/>
      <x:c r="F68" s="590"/>
      <x:c r="G68" s="428"/>
      <x:c r="H68" s="426" t="n">
        <x:f>IF(ISNUMBER('📊 BSC Completo'!F36),'📊 BSC Completo'!F36,"")</x:f>
        <x:v>85</x:v>
      </x:c>
      <x:c r="I68" s="426"/>
      <x:c r="J68" s="426" t="n">
        <x:f>IF(ISNUMBER('📊 BSC Completo'!G36),'📊 BSC Completo'!G36,"")</x:f>
        <x:v>74</x:v>
      </x:c>
      <x:c r="K68" s="426"/>
      <x:c r="L68" s="427" t="n">
        <x:f>IF(ISNUMBER('📊 BSC Completo'!H36),'📊 BSC Completo'!H36,"")</x:f>
        <x:v>0.8705882352941177</x:v>
      </x:c>
      <x:c r="M68" s="427"/>
      <x:c r="N68" s="425" t="str">
        <x:f>'📊 BSC Completo'!I36</x:f>
        <x:v>EN RIESGO</x:v>
      </x:c>
      <x:c r="O68" s="425"/>
      <x:c r="P68" s="425"/>
      <x:c r="Q68" s="242"/>
    </x:row>
    <x:row r="69" ht="32" customHeight="1">
      <x:c r="B69" s="312" t="str">
        <x:f>'📊 BSC Completo'!J37</x:f>
        <x:v>KPI-31</x:v>
      </x:c>
      <x:c r="C69" s="312" t="str">
        <x:f>'📊 BSC Completo'!D37</x:f>
        <x:v>Índice de Satisfacción del Empleado</x:v>
      </x:c>
      <x:c r="D69" s="312"/>
      <x:c r="E69" s="312"/>
      <x:c r="F69" s="312"/>
      <x:c r="G69" s="400"/>
      <x:c r="H69" s="403" t="n">
        <x:f>IF(ISNUMBER('📊 BSC Completo'!F37),'📊 BSC Completo'!F37,"")</x:f>
        <x:v>75</x:v>
      </x:c>
      <x:c r="I69" s="403"/>
      <x:c r="J69" s="403" t="n">
        <x:f>IF(ISNUMBER('📊 BSC Completo'!G37),'📊 BSC Completo'!G37,"")</x:f>
        <x:v>68</x:v>
      </x:c>
      <x:c r="K69" s="403"/>
      <x:c r="L69" s="404" t="n">
        <x:f>IF(ISNUMBER('📊 BSC Completo'!H37),'📊 BSC Completo'!H37,"")</x:f>
        <x:v>0.9066666666666666</x:v>
      </x:c>
      <x:c r="M69" s="404"/>
      <x:c r="N69" s="401" t="str">
        <x:f>'📊 BSC Completo'!I37</x:f>
        <x:v>EN RIESGO</x:v>
      </x:c>
      <x:c r="O69" s="401"/>
      <x:c r="P69" s="401"/>
      <x:c r="Q69" s="242"/>
    </x:row>
    <x:row r="70" ht="32" customHeight="1">
      <x:c r="B70" s="590" t="str">
        <x:f>'📊 BSC Completo'!J38</x:f>
        <x:v>KPI-32</x:v>
      </x:c>
      <x:c r="C70" s="590" t="str">
        <x:f>'📊 BSC Completo'!D38</x:f>
        <x:v>Rotación de Personal (Turnover)</x:v>
      </x:c>
      <x:c r="D70" s="590"/>
      <x:c r="E70" s="590"/>
      <x:c r="F70" s="590"/>
      <x:c r="G70" s="428"/>
      <x:c r="H70" s="426" t="n">
        <x:f>IF(ISNUMBER('📊 BSC Completo'!F38),'📊 BSC Completo'!F38,"")</x:f>
        <x:v>8</x:v>
      </x:c>
      <x:c r="I70" s="426"/>
      <x:c r="J70" s="426" t="n">
        <x:f>IF(ISNUMBER('📊 BSC Completo'!G38),'📊 BSC Completo'!G38,"")</x:f>
        <x:v>10</x:v>
      </x:c>
      <x:c r="K70" s="426"/>
      <x:c r="L70" s="427" t="n">
        <x:f>IF(ISNUMBER('📊 BSC Completo'!H38),'📊 BSC Completo'!H38,"")</x:f>
        <x:v>0.8</x:v>
      </x:c>
      <x:c r="M70" s="427"/>
      <x:c r="N70" s="425" t="str">
        <x:f>'📊 BSC Completo'!I38</x:f>
        <x:v>EN RIESGO</x:v>
      </x:c>
      <x:c r="O70" s="425"/>
      <x:c r="P70" s="425"/>
      <x:c r="Q70" s="242"/>
    </x:row>
    <x:row r="71" ht="32" customHeight="1">
      <x:c r="B71" s="312" t="str">
        <x:f>'📊 BSC Completo'!J39</x:f>
        <x:v>KPI-33</x:v>
      </x:c>
      <x:c r="C71" s="312" t="str">
        <x:f>'📊 BSC Completo'!D39</x:f>
        <x:v>% Empleados con Evaluación Desempeño</x:v>
      </x:c>
      <x:c r="D71" s="312"/>
      <x:c r="E71" s="312"/>
      <x:c r="F71" s="312"/>
      <x:c r="G71" s="400"/>
      <x:c r="H71" s="403" t="n">
        <x:f>IF(ISNUMBER('📊 BSC Completo'!F39),'📊 BSC Completo'!F39,"")</x:f>
        <x:v>95</x:v>
      </x:c>
      <x:c r="I71" s="403"/>
      <x:c r="J71" s="403" t="n">
        <x:f>IF(ISNUMBER('📊 BSC Completo'!G39),'📊 BSC Completo'!G39,"")</x:f>
        <x:v>88</x:v>
      </x:c>
      <x:c r="K71" s="403"/>
      <x:c r="L71" s="404" t="n">
        <x:f>IF(ISNUMBER('📊 BSC Completo'!H39),'📊 BSC Completo'!H39,"")</x:f>
        <x:v>0.9263157894736842</x:v>
      </x:c>
      <x:c r="M71" s="404"/>
      <x:c r="N71" s="401" t="str">
        <x:f>'📊 BSC Completo'!I39</x:f>
        <x:v>EN RIESGO</x:v>
      </x:c>
      <x:c r="O71" s="401"/>
      <x:c r="P71" s="401"/>
      <x:c r="Q71" s="242"/>
    </x:row>
    <x:row r="72" ht="32" customHeight="1">
      <x:c r="B72" s="590" t="str">
        <x:f>'📊 BSC Completo'!J40</x:f>
        <x:v>KPI-34</x:v>
      </x:c>
      <x:c r="C72" s="590" t="str">
        <x:f>'📊 BSC Completo'!D40</x:f>
        <x:v>Proyectos de Mejora Continua Activos</x:v>
      </x:c>
      <x:c r="D72" s="590"/>
      <x:c r="E72" s="590"/>
      <x:c r="F72" s="590"/>
      <x:c r="G72" s="428"/>
      <x:c r="H72" s="426" t="n">
        <x:f>IF(ISNUMBER('📊 BSC Completo'!F40),'📊 BSC Completo'!F40,"")</x:f>
        <x:v>6</x:v>
      </x:c>
      <x:c r="I72" s="426"/>
      <x:c r="J72" s="426" t="n">
        <x:f>IF(ISNUMBER('📊 BSC Completo'!G40),'📊 BSC Completo'!G40,"")</x:f>
        <x:v>5</x:v>
      </x:c>
      <x:c r="K72" s="426"/>
      <x:c r="L72" s="427" t="n">
        <x:f>IF(ISNUMBER('📊 BSC Completo'!H40),'📊 BSC Completo'!H40,"")</x:f>
        <x:v>0.8333333333333334</x:v>
      </x:c>
      <x:c r="M72" s="427"/>
      <x:c r="N72" s="425" t="str">
        <x:f>'📊 BSC Completo'!I40</x:f>
        <x:v>EN RIESGO</x:v>
      </x:c>
      <x:c r="O72" s="425"/>
      <x:c r="P72" s="425"/>
      <x:c r="Q72" s="242"/>
    </x:row>
    <x:row r="73" ht="32" customHeight="1">
      <x:c r="B73" s="312" t="str">
        <x:f>'📊 BSC Completo'!J41</x:f>
        <x:v>KPI-35</x:v>
      </x:c>
      <x:c r="C73" s="312" t="str">
        <x:f>'📊 BSC Completo'!D41</x:f>
        <x:v>% Presupuesto I+D sobre Ingresos</x:v>
      </x:c>
      <x:c r="D73" s="312"/>
      <x:c r="E73" s="312"/>
      <x:c r="F73" s="312"/>
      <x:c r="G73" s="400"/>
      <x:c r="H73" s="403" t="n">
        <x:f>IF(ISNUMBER('📊 BSC Completo'!F41),'📊 BSC Completo'!F41,"")</x:f>
        <x:v>5</x:v>
      </x:c>
      <x:c r="I73" s="403"/>
      <x:c r="J73" s="403" t="n">
        <x:f>IF(ISNUMBER('📊 BSC Completo'!G41),'📊 BSC Completo'!G41,"")</x:f>
        <x:v>3.8</x:v>
      </x:c>
      <x:c r="K73" s="403"/>
      <x:c r="L73" s="404" t="n">
        <x:f>IF(ISNUMBER('📊 BSC Completo'!H41),'📊 BSC Completo'!H41,"")</x:f>
        <x:v>0.76</x:v>
      </x:c>
      <x:c r="M73" s="404"/>
      <x:c r="N73" s="401" t="str">
        <x:f>'📊 BSC Completo'!I41</x:f>
        <x:v>CRÍTICO</x:v>
      </x:c>
      <x:c r="O73" s="401"/>
      <x:c r="P73" s="401"/>
      <x:c r="Q73" s="242"/>
    </x:row>
    <x:row r="74" ht="32" customHeight="1">
      <x:c r="B74" s="590" t="str">
        <x:f>'📊 BSC Completo'!J42</x:f>
        <x:v>KPI-36</x:v>
      </x:c>
      <x:c r="C74" s="590" t="str">
        <x:f>'📊 BSC Completo'!D42</x:f>
        <x:v>Ideas Implementadas de Empleados</x:v>
      </x:c>
      <x:c r="D74" s="590"/>
      <x:c r="E74" s="590"/>
      <x:c r="F74" s="590"/>
      <x:c r="G74" s="428"/>
      <x:c r="H74" s="426" t="n">
        <x:f>IF(ISNUMBER('📊 BSC Completo'!F42),'📊 BSC Completo'!F42,"")</x:f>
        <x:v>24</x:v>
      </x:c>
      <x:c r="I74" s="426"/>
      <x:c r="J74" s="426" t="n">
        <x:f>IF(ISNUMBER('📊 BSC Completo'!G42),'📊 BSC Completo'!G42,"")</x:f>
        <x:v>16</x:v>
      </x:c>
      <x:c r="K74" s="426"/>
      <x:c r="L74" s="427" t="n">
        <x:f>IF(ISNUMBER('📊 BSC Completo'!H42),'📊 BSC Completo'!H42,"")</x:f>
        <x:v>0.6666666666666666</x:v>
      </x:c>
      <x:c r="M74" s="427"/>
      <x:c r="N74" s="425" t="str">
        <x:f>'📊 BSC Completo'!I42</x:f>
        <x:v>CRÍTICO</x:v>
      </x:c>
      <x:c r="O74" s="425"/>
      <x:c r="P74" s="425"/>
      <x:c r="Q74" s="242"/>
    </x:row>
  </x:sheetData>
  <x:mergeCells>
    <x:mergeCell ref="B2:I2"/>
    <x:mergeCell ref="B3:I3"/>
    <x:mergeCell ref="B5:D5"/>
    <x:mergeCell ref="E5:F5"/>
    <x:mergeCell ref="G5:I5"/>
    <x:mergeCell ref="B6:D7"/>
    <x:mergeCell ref="E6:F7"/>
    <x:mergeCell ref="G6:I7"/>
    <x:mergeCell ref="G26:P26"/>
    <x:mergeCell ref="G27:P27"/>
    <x:mergeCell ref="G28:P28"/>
    <x:mergeCell ref="G29:P29"/>
    <x:mergeCell ref="G30:P30"/>
    <x:mergeCell ref="G31:P31"/>
    <x:mergeCell ref="G32:P32"/>
    <x:mergeCell ref="G33:P33"/>
    <x:mergeCell ref="G34:P34"/>
    <x:mergeCell ref="G35:P35"/>
    <x:mergeCell ref="G36:P36"/>
    <x:mergeCell ref="B8:D8"/>
    <x:mergeCell ref="E8:F8"/>
    <x:mergeCell ref="G8:I8"/>
    <x:mergeCell ref="K5:P5"/>
    <x:mergeCell ref="K6:P7"/>
    <x:mergeCell ref="K8:P8"/>
    <x:mergeCell ref="C38:G38"/>
    <x:mergeCell ref="H38:I38"/>
    <x:mergeCell ref="J38:K38"/>
    <x:mergeCell ref="L38:M38"/>
    <x:mergeCell ref="N38:P38"/>
    <x:mergeCell ref="C39:G39"/>
    <x:mergeCell ref="H39:I39"/>
    <x:mergeCell ref="J39:K39"/>
    <x:mergeCell ref="L39:M39"/>
    <x:mergeCell ref="N39:P39"/>
    <x:mergeCell ref="C40:G40"/>
    <x:mergeCell ref="H40:I40"/>
    <x:mergeCell ref="J40:K40"/>
    <x:mergeCell ref="L40:M40"/>
    <x:mergeCell ref="N40:P40"/>
    <x:mergeCell ref="C41:G41"/>
    <x:mergeCell ref="H41:I41"/>
    <x:mergeCell ref="J41:K41"/>
    <x:mergeCell ref="L41:M41"/>
    <x:mergeCell ref="N41:P41"/>
    <x:mergeCell ref="C42:G42"/>
    <x:mergeCell ref="H42:I42"/>
    <x:mergeCell ref="J42:K42"/>
    <x:mergeCell ref="L42:M42"/>
    <x:mergeCell ref="N42:P42"/>
    <x:mergeCell ref="C43:G43"/>
    <x:mergeCell ref="H43:I43"/>
    <x:mergeCell ref="J43:K43"/>
    <x:mergeCell ref="L43:M43"/>
    <x:mergeCell ref="N43:P43"/>
    <x:mergeCell ref="C44:G44"/>
    <x:mergeCell ref="H44:I44"/>
    <x:mergeCell ref="J44:K44"/>
    <x:mergeCell ref="L44:M44"/>
    <x:mergeCell ref="N44:P44"/>
    <x:mergeCell ref="C45:G45"/>
    <x:mergeCell ref="H45:I45"/>
    <x:mergeCell ref="J45:K45"/>
    <x:mergeCell ref="L45:M45"/>
    <x:mergeCell ref="N45:P45"/>
    <x:mergeCell ref="C46:G46"/>
    <x:mergeCell ref="H46:I46"/>
    <x:mergeCell ref="J46:K46"/>
    <x:mergeCell ref="L46:M46"/>
    <x:mergeCell ref="N46:P46"/>
    <x:mergeCell ref="C47:G47"/>
    <x:mergeCell ref="H47:I47"/>
    <x:mergeCell ref="J47:K47"/>
    <x:mergeCell ref="L47:M47"/>
    <x:mergeCell ref="N47:P47"/>
    <x:mergeCell ref="C48:G48"/>
    <x:mergeCell ref="H48:I48"/>
    <x:mergeCell ref="J48:K48"/>
    <x:mergeCell ref="L48:M48"/>
    <x:mergeCell ref="N48:P48"/>
    <x:mergeCell ref="C49:G49"/>
    <x:mergeCell ref="H49:I49"/>
    <x:mergeCell ref="J49:K49"/>
    <x:mergeCell ref="L49:M49"/>
    <x:mergeCell ref="N49:P49"/>
    <x:mergeCell ref="C50:G50"/>
    <x:mergeCell ref="H50:I50"/>
    <x:mergeCell ref="J50:K50"/>
    <x:mergeCell ref="L50:M50"/>
    <x:mergeCell ref="N50:P50"/>
    <x:mergeCell ref="C51:G51"/>
    <x:mergeCell ref="H51:I51"/>
    <x:mergeCell ref="J51:K51"/>
    <x:mergeCell ref="L51:M51"/>
    <x:mergeCell ref="N51:P51"/>
    <x:mergeCell ref="C52:G52"/>
    <x:mergeCell ref="H52:I52"/>
    <x:mergeCell ref="J52:K52"/>
    <x:mergeCell ref="L52:M52"/>
    <x:mergeCell ref="N52:P52"/>
    <x:mergeCell ref="C53:G53"/>
    <x:mergeCell ref="H53:I53"/>
    <x:mergeCell ref="J53:K53"/>
    <x:mergeCell ref="L53:M53"/>
    <x:mergeCell ref="N53:P53"/>
    <x:mergeCell ref="C54:G54"/>
    <x:mergeCell ref="H54:I54"/>
    <x:mergeCell ref="J54:K54"/>
    <x:mergeCell ref="L54:M54"/>
    <x:mergeCell ref="N54:P54"/>
    <x:mergeCell ref="C55:G55"/>
    <x:mergeCell ref="H55:I55"/>
    <x:mergeCell ref="J55:K55"/>
    <x:mergeCell ref="L55:M55"/>
    <x:mergeCell ref="N55:P55"/>
    <x:mergeCell ref="C56:G56"/>
    <x:mergeCell ref="H56:I56"/>
    <x:mergeCell ref="J56:K56"/>
    <x:mergeCell ref="L56:M56"/>
    <x:mergeCell ref="N56:P56"/>
    <x:mergeCell ref="C57:G57"/>
    <x:mergeCell ref="H57:I57"/>
    <x:mergeCell ref="J57:K57"/>
    <x:mergeCell ref="L57:M57"/>
    <x:mergeCell ref="N57:P57"/>
    <x:mergeCell ref="C58:G58"/>
    <x:mergeCell ref="H58:I58"/>
    <x:mergeCell ref="J58:K58"/>
    <x:mergeCell ref="L58:M58"/>
    <x:mergeCell ref="N58:P58"/>
    <x:mergeCell ref="C59:G59"/>
    <x:mergeCell ref="H59:I59"/>
    <x:mergeCell ref="J59:K59"/>
    <x:mergeCell ref="L59:M59"/>
    <x:mergeCell ref="N59:P59"/>
    <x:mergeCell ref="C60:G60"/>
    <x:mergeCell ref="H60:I60"/>
    <x:mergeCell ref="J60:K60"/>
    <x:mergeCell ref="L60:M60"/>
    <x:mergeCell ref="N60:P60"/>
    <x:mergeCell ref="C61:G61"/>
    <x:mergeCell ref="H61:I61"/>
    <x:mergeCell ref="J61:K61"/>
    <x:mergeCell ref="L61:M61"/>
    <x:mergeCell ref="N61:P61"/>
    <x:mergeCell ref="C62:G62"/>
    <x:mergeCell ref="H62:I62"/>
    <x:mergeCell ref="J62:K62"/>
    <x:mergeCell ref="L62:M62"/>
    <x:mergeCell ref="N62:P62"/>
    <x:mergeCell ref="C63:G63"/>
    <x:mergeCell ref="H63:I63"/>
    <x:mergeCell ref="J63:K63"/>
    <x:mergeCell ref="L63:M63"/>
    <x:mergeCell ref="N63:P63"/>
    <x:mergeCell ref="C64:G64"/>
    <x:mergeCell ref="H64:I64"/>
    <x:mergeCell ref="J64:K64"/>
    <x:mergeCell ref="L64:M64"/>
    <x:mergeCell ref="N64:P64"/>
    <x:mergeCell ref="C65:G65"/>
    <x:mergeCell ref="H65:I65"/>
    <x:mergeCell ref="J65:K65"/>
    <x:mergeCell ref="L65:M65"/>
    <x:mergeCell ref="N65:P65"/>
    <x:mergeCell ref="C66:G66"/>
    <x:mergeCell ref="H66:I66"/>
    <x:mergeCell ref="J66:K66"/>
    <x:mergeCell ref="L66:M66"/>
    <x:mergeCell ref="N66:P66"/>
    <x:mergeCell ref="C67:G67"/>
    <x:mergeCell ref="H67:I67"/>
    <x:mergeCell ref="J67:K67"/>
    <x:mergeCell ref="L67:M67"/>
    <x:mergeCell ref="N67:P67"/>
    <x:mergeCell ref="C68:G68"/>
    <x:mergeCell ref="H68:I68"/>
    <x:mergeCell ref="J68:K68"/>
    <x:mergeCell ref="L68:M68"/>
    <x:mergeCell ref="N68:P68"/>
    <x:mergeCell ref="C69:G69"/>
    <x:mergeCell ref="H69:I69"/>
    <x:mergeCell ref="J69:K69"/>
    <x:mergeCell ref="L69:M69"/>
    <x:mergeCell ref="N69:P69"/>
    <x:mergeCell ref="C70:G70"/>
    <x:mergeCell ref="H70:I70"/>
    <x:mergeCell ref="J70:K70"/>
    <x:mergeCell ref="L70:M70"/>
    <x:mergeCell ref="N70:P70"/>
    <x:mergeCell ref="C71:G71"/>
    <x:mergeCell ref="H71:I71"/>
    <x:mergeCell ref="J71:K71"/>
    <x:mergeCell ref="L71:M71"/>
    <x:mergeCell ref="N71:P71"/>
    <x:mergeCell ref="C72:G72"/>
    <x:mergeCell ref="H72:I72"/>
    <x:mergeCell ref="J72:K72"/>
    <x:mergeCell ref="L72:M72"/>
    <x:mergeCell ref="N72:P72"/>
    <x:mergeCell ref="C73:G73"/>
    <x:mergeCell ref="H73:I73"/>
    <x:mergeCell ref="J73:K73"/>
    <x:mergeCell ref="L73:M73"/>
    <x:mergeCell ref="N73:P73"/>
    <x:mergeCell ref="C74:G74"/>
    <x:mergeCell ref="H74:I74"/>
    <x:mergeCell ref="J74:K74"/>
    <x:mergeCell ref="L74:M74"/>
    <x:mergeCell ref="N74:P74"/>
  </x:mergeCells>
  <x:conditionalFormatting sqref="G6:G6">
    <x:cfRule type="expression" dxfId="432" priority="1">
      <x:formula>G6="CUMPLIDO"</x:formula>
    </x:cfRule>
    <x:cfRule type="expression" dxfId="433" priority="2">
      <x:formula>G6="EN RIESGO"</x:formula>
    </x:cfRule>
    <x:cfRule type="expression" dxfId="434" priority="3">
      <x:formula>G6="CRÍTICO"</x:formula>
    </x:cfRule>
  </x:conditionalFormatting>
  <x:conditionalFormatting sqref="F39:F74">
    <x:cfRule type="expression" dxfId="483" priority="52">
      <x:formula>AND(ISNUMBER(F39),F39&gt;=1)</x:formula>
    </x:cfRule>
    <x:cfRule type="expression" dxfId="484" priority="53">
      <x:formula>AND(ISNUMBER(F39),F39&gt;=0.8,F39&lt;1)</x:formula>
    </x:cfRule>
    <x:cfRule type="expression" dxfId="485" priority="54">
      <x:formula>AND(ISNUMBER(F39),F39&lt;0.8)</x:formula>
    </x:cfRule>
  </x:conditionalFormatting>
  <x:conditionalFormatting sqref="C12:C12">
    <x:cfRule type="expression" dxfId="918" priority="55">
      <x:formula>AND(ISNUMBER(C12),C12&gt;=1)</x:formula>
    </x:cfRule>
    <x:cfRule type="expression" dxfId="919" priority="56">
      <x:formula>AND(ISNUMBER(C12),C12&gt;=0.8,C12&lt;1)</x:formula>
    </x:cfRule>
    <x:cfRule type="expression" dxfId="920" priority="57">
      <x:formula>AND(ISNUMBER(C12),C12&lt;0.8)</x:formula>
    </x:cfRule>
  </x:conditionalFormatting>
  <x:conditionalFormatting sqref="C13:C13">
    <x:cfRule type="expression" dxfId="921" priority="58">
      <x:formula>AND(ISNUMBER(C13),C13&gt;=1)</x:formula>
    </x:cfRule>
    <x:cfRule type="expression" dxfId="922" priority="59">
      <x:formula>AND(ISNUMBER(C13),C13&gt;=0.8,C13&lt;1)</x:formula>
    </x:cfRule>
    <x:cfRule type="expression" dxfId="923" priority="60">
      <x:formula>AND(ISNUMBER(C13),C13&lt;0.8)</x:formula>
    </x:cfRule>
  </x:conditionalFormatting>
  <x:conditionalFormatting sqref="C14:C14">
    <x:cfRule type="expression" dxfId="924" priority="61">
      <x:formula>AND(ISNUMBER(C14),C14&gt;=1)</x:formula>
    </x:cfRule>
    <x:cfRule type="expression" dxfId="925" priority="62">
      <x:formula>AND(ISNUMBER(C14),C14&gt;=0.8,C14&lt;1)</x:formula>
    </x:cfRule>
    <x:cfRule type="expression" dxfId="926" priority="63">
      <x:formula>AND(ISNUMBER(C14),C14&lt;0.8)</x:formula>
    </x:cfRule>
  </x:conditionalFormatting>
  <x:conditionalFormatting sqref="C15:C15">
    <x:cfRule type="expression" dxfId="927" priority="64">
      <x:formula>AND(ISNUMBER(C15),C15&gt;=1)</x:formula>
    </x:cfRule>
    <x:cfRule type="expression" dxfId="928" priority="65">
      <x:formula>AND(ISNUMBER(C15),C15&gt;=0.8,C15&lt;1)</x:formula>
    </x:cfRule>
    <x:cfRule type="expression" dxfId="929" priority="66">
      <x:formula>AND(ISNUMBER(C15),C15&lt;0.8)</x:formula>
    </x:cfRule>
  </x:conditionalFormatting>
  <x:conditionalFormatting sqref="C24:C24">
    <x:cfRule type="expression" dxfId="930" priority="67">
      <x:formula>AND(ISNUMBER(C24),C24&gt;=1)</x:formula>
    </x:cfRule>
    <x:cfRule type="expression" dxfId="931" priority="68">
      <x:formula>AND(ISNUMBER(C24),C24&gt;=0.8,C24&lt;1)</x:formula>
    </x:cfRule>
    <x:cfRule type="expression" dxfId="932" priority="69">
      <x:formula>AND(ISNUMBER(C24),C24&lt;0.8)</x:formula>
    </x:cfRule>
  </x:conditionalFormatting>
  <x:conditionalFormatting sqref="C25:C25">
    <x:cfRule type="expression" dxfId="933" priority="70">
      <x:formula>AND(ISNUMBER(C25),C25&gt;=1)</x:formula>
    </x:cfRule>
    <x:cfRule type="expression" dxfId="934" priority="71">
      <x:formula>AND(ISNUMBER(C25),C25&gt;=0.8,C25&lt;1)</x:formula>
    </x:cfRule>
    <x:cfRule type="expression" dxfId="935" priority="72">
      <x:formula>AND(ISNUMBER(C25),C25&lt;0.8)</x:formula>
    </x:cfRule>
  </x:conditionalFormatting>
  <x:conditionalFormatting sqref="C26:C26">
    <x:cfRule type="expression" dxfId="936" priority="73">
      <x:formula>AND(ISNUMBER(C26),C26&gt;=1)</x:formula>
    </x:cfRule>
    <x:cfRule type="expression" dxfId="937" priority="74">
      <x:formula>AND(ISNUMBER(C26),C26&gt;=0.8,C26&lt;1)</x:formula>
    </x:cfRule>
    <x:cfRule type="expression" dxfId="938" priority="75">
      <x:formula>AND(ISNUMBER(C26),C26&lt;0.8)</x:formula>
    </x:cfRule>
  </x:conditionalFormatting>
  <x:conditionalFormatting sqref="C27:C27">
    <x:cfRule type="expression" dxfId="939" priority="76">
      <x:formula>AND(ISNUMBER(C27),C27&gt;=1)</x:formula>
    </x:cfRule>
    <x:cfRule type="expression" dxfId="940" priority="77">
      <x:formula>AND(ISNUMBER(C27),C27&gt;=0.8,C27&lt;1)</x:formula>
    </x:cfRule>
    <x:cfRule type="expression" dxfId="941" priority="78">
      <x:formula>AND(ISNUMBER(C27),C27&lt;0.8)</x:formula>
    </x:cfRule>
  </x:conditionalFormatting>
  <x:conditionalFormatting sqref="C28:C28">
    <x:cfRule type="expression" dxfId="942" priority="79">
      <x:formula>AND(ISNUMBER(C28),C28&gt;=1)</x:formula>
    </x:cfRule>
    <x:cfRule type="expression" dxfId="943" priority="80">
      <x:formula>AND(ISNUMBER(C28),C28&gt;=0.8,C28&lt;1)</x:formula>
    </x:cfRule>
    <x:cfRule type="expression" dxfId="944" priority="81">
      <x:formula>AND(ISNUMBER(C28),C28&lt;0.8)</x:formula>
    </x:cfRule>
  </x:conditionalFormatting>
  <x:conditionalFormatting sqref="C29:C29">
    <x:cfRule type="expression" dxfId="945" priority="82">
      <x:formula>AND(ISNUMBER(C29),C29&gt;=1)</x:formula>
    </x:cfRule>
    <x:cfRule type="expression" dxfId="946" priority="83">
      <x:formula>AND(ISNUMBER(C29),C29&gt;=0.8,C29&lt;1)</x:formula>
    </x:cfRule>
    <x:cfRule type="expression" dxfId="947" priority="84">
      <x:formula>AND(ISNUMBER(C29),C29&lt;0.8)</x:formula>
    </x:cfRule>
  </x:conditionalFormatting>
  <x:conditionalFormatting sqref="C30:C30">
    <x:cfRule type="expression" dxfId="948" priority="85">
      <x:formula>AND(ISNUMBER(C30),C30&gt;=1)</x:formula>
    </x:cfRule>
    <x:cfRule type="expression" dxfId="949" priority="86">
      <x:formula>AND(ISNUMBER(C30),C30&gt;=0.8,C30&lt;1)</x:formula>
    </x:cfRule>
    <x:cfRule type="expression" dxfId="950" priority="87">
      <x:formula>AND(ISNUMBER(C30),C30&lt;0.8)</x:formula>
    </x:cfRule>
  </x:conditionalFormatting>
  <x:conditionalFormatting sqref="C31:C31">
    <x:cfRule type="expression" dxfId="951" priority="88">
      <x:formula>AND(ISNUMBER(C31),C31&gt;=1)</x:formula>
    </x:cfRule>
    <x:cfRule type="expression" dxfId="952" priority="89">
      <x:formula>AND(ISNUMBER(C31),C31&gt;=0.8,C31&lt;1)</x:formula>
    </x:cfRule>
    <x:cfRule type="expression" dxfId="953" priority="90">
      <x:formula>AND(ISNUMBER(C31),C31&lt;0.8)</x:formula>
    </x:cfRule>
  </x:conditionalFormatting>
  <x:conditionalFormatting sqref="C32:C32">
    <x:cfRule type="expression" dxfId="954" priority="91">
      <x:formula>AND(ISNUMBER(C32),C32&gt;=1)</x:formula>
    </x:cfRule>
    <x:cfRule type="expression" dxfId="955" priority="92">
      <x:formula>AND(ISNUMBER(C32),C32&gt;=0.8,C32&lt;1)</x:formula>
    </x:cfRule>
    <x:cfRule type="expression" dxfId="956" priority="93">
      <x:formula>AND(ISNUMBER(C32),C32&lt;0.8)</x:formula>
    </x:cfRule>
  </x:conditionalFormatting>
  <x:conditionalFormatting sqref="C33:C33">
    <x:cfRule type="expression" dxfId="957" priority="94">
      <x:formula>AND(ISNUMBER(C33),C33&gt;=1)</x:formula>
    </x:cfRule>
    <x:cfRule type="expression" dxfId="958" priority="95">
      <x:formula>AND(ISNUMBER(C33),C33&gt;=0.8,C33&lt;1)</x:formula>
    </x:cfRule>
    <x:cfRule type="expression" dxfId="959" priority="96">
      <x:formula>AND(ISNUMBER(C33),C33&lt;0.8)</x:formula>
    </x:cfRule>
  </x:conditionalFormatting>
  <x:conditionalFormatting sqref="C34:C34">
    <x:cfRule type="expression" dxfId="960" priority="97">
      <x:formula>AND(ISNUMBER(C34),C34&gt;=1)</x:formula>
    </x:cfRule>
    <x:cfRule type="expression" dxfId="961" priority="98">
      <x:formula>AND(ISNUMBER(C34),C34&gt;=0.8,C34&lt;1)</x:formula>
    </x:cfRule>
    <x:cfRule type="expression" dxfId="962" priority="99">
      <x:formula>AND(ISNUMBER(C34),C34&lt;0.8)</x:formula>
    </x:cfRule>
  </x:conditionalFormatting>
  <x:conditionalFormatting sqref="C35:C35">
    <x:cfRule type="expression" dxfId="963" priority="100">
      <x:formula>AND(ISNUMBER(C35),C35&gt;=1)</x:formula>
    </x:cfRule>
    <x:cfRule type="expression" dxfId="964" priority="101">
      <x:formula>AND(ISNUMBER(C35),C35&gt;=0.8,C35&lt;1)</x:formula>
    </x:cfRule>
    <x:cfRule type="expression" dxfId="965" priority="102">
      <x:formula>AND(ISNUMBER(C35),C35&lt;0.8)</x:formula>
    </x:cfRule>
  </x:conditionalFormatting>
  <x:conditionalFormatting sqref="L39:M39">
    <x:cfRule type="expression" dxfId="966" priority="103">
      <x:formula>AND(ISNUMBER(L39),L39&gt;=1)</x:formula>
    </x:cfRule>
    <x:cfRule type="expression" dxfId="967" priority="104">
      <x:formula>AND(ISNUMBER(L39),L39&gt;=0.8,L39&lt;1)</x:formula>
    </x:cfRule>
    <x:cfRule type="expression" dxfId="968" priority="105">
      <x:formula>AND(ISNUMBER(L39),L39&lt;0.8)</x:formula>
    </x:cfRule>
  </x:conditionalFormatting>
  <x:conditionalFormatting sqref="N39:P39">
    <x:cfRule type="expression" dxfId="969" priority="106">
      <x:formula>N39="CUMPLIDO"</x:formula>
    </x:cfRule>
    <x:cfRule type="expression" dxfId="970" priority="107">
      <x:formula>N39="EN RIESGO"</x:formula>
    </x:cfRule>
    <x:cfRule type="expression" dxfId="971" priority="108">
      <x:formula>N39="CRÍTICO"</x:formula>
    </x:cfRule>
  </x:conditionalFormatting>
  <x:conditionalFormatting sqref="L40:M40">
    <x:cfRule type="expression" dxfId="972" priority="109">
      <x:formula>AND(ISNUMBER(L40),L40&gt;=1)</x:formula>
    </x:cfRule>
    <x:cfRule type="expression" dxfId="973" priority="110">
      <x:formula>AND(ISNUMBER(L40),L40&gt;=0.8,L40&lt;1)</x:formula>
    </x:cfRule>
    <x:cfRule type="expression" dxfId="974" priority="111">
      <x:formula>AND(ISNUMBER(L40),L40&lt;0.8)</x:formula>
    </x:cfRule>
  </x:conditionalFormatting>
  <x:conditionalFormatting sqref="N40:P40">
    <x:cfRule type="expression" dxfId="975" priority="112">
      <x:formula>N40="CUMPLIDO"</x:formula>
    </x:cfRule>
    <x:cfRule type="expression" dxfId="976" priority="113">
      <x:formula>N40="EN RIESGO"</x:formula>
    </x:cfRule>
    <x:cfRule type="expression" dxfId="977" priority="114">
      <x:formula>N40="CRÍTICO"</x:formula>
    </x:cfRule>
  </x:conditionalFormatting>
  <x:conditionalFormatting sqref="L41:M41">
    <x:cfRule type="expression" dxfId="978" priority="115">
      <x:formula>AND(ISNUMBER(L41),L41&gt;=1)</x:formula>
    </x:cfRule>
    <x:cfRule type="expression" dxfId="979" priority="116">
      <x:formula>AND(ISNUMBER(L41),L41&gt;=0.8,L41&lt;1)</x:formula>
    </x:cfRule>
    <x:cfRule type="expression" dxfId="980" priority="117">
      <x:formula>AND(ISNUMBER(L41),L41&lt;0.8)</x:formula>
    </x:cfRule>
  </x:conditionalFormatting>
  <x:conditionalFormatting sqref="N41:P41">
    <x:cfRule type="expression" dxfId="981" priority="118">
      <x:formula>N41="CUMPLIDO"</x:formula>
    </x:cfRule>
    <x:cfRule type="expression" dxfId="982" priority="119">
      <x:formula>N41="EN RIESGO"</x:formula>
    </x:cfRule>
    <x:cfRule type="expression" dxfId="983" priority="120">
      <x:formula>N41="CRÍTICO"</x:formula>
    </x:cfRule>
  </x:conditionalFormatting>
  <x:conditionalFormatting sqref="L42:M42">
    <x:cfRule type="expression" dxfId="984" priority="121">
      <x:formula>AND(ISNUMBER(L42),L42&gt;=1)</x:formula>
    </x:cfRule>
    <x:cfRule type="expression" dxfId="985" priority="122">
      <x:formula>AND(ISNUMBER(L42),L42&gt;=0.8,L42&lt;1)</x:formula>
    </x:cfRule>
    <x:cfRule type="expression" dxfId="986" priority="123">
      <x:formula>AND(ISNUMBER(L42),L42&lt;0.8)</x:formula>
    </x:cfRule>
  </x:conditionalFormatting>
  <x:conditionalFormatting sqref="N42:P42">
    <x:cfRule type="expression" dxfId="987" priority="124">
      <x:formula>N42="CUMPLIDO"</x:formula>
    </x:cfRule>
    <x:cfRule type="expression" dxfId="988" priority="125">
      <x:formula>N42="EN RIESGO"</x:formula>
    </x:cfRule>
    <x:cfRule type="expression" dxfId="989" priority="126">
      <x:formula>N42="CRÍTICO"</x:formula>
    </x:cfRule>
  </x:conditionalFormatting>
  <x:conditionalFormatting sqref="L43:M43">
    <x:cfRule type="expression" dxfId="990" priority="127">
      <x:formula>AND(ISNUMBER(L43),L43&gt;=1)</x:formula>
    </x:cfRule>
    <x:cfRule type="expression" dxfId="991" priority="128">
      <x:formula>AND(ISNUMBER(L43),L43&gt;=0.8,L43&lt;1)</x:formula>
    </x:cfRule>
    <x:cfRule type="expression" dxfId="992" priority="129">
      <x:formula>AND(ISNUMBER(L43),L43&lt;0.8)</x:formula>
    </x:cfRule>
  </x:conditionalFormatting>
  <x:conditionalFormatting sqref="N43:P43">
    <x:cfRule type="expression" dxfId="993" priority="130">
      <x:formula>N43="CUMPLIDO"</x:formula>
    </x:cfRule>
    <x:cfRule type="expression" dxfId="994" priority="131">
      <x:formula>N43="EN RIESGO"</x:formula>
    </x:cfRule>
    <x:cfRule type="expression" dxfId="995" priority="132">
      <x:formula>N43="CRÍTICO"</x:formula>
    </x:cfRule>
  </x:conditionalFormatting>
  <x:conditionalFormatting sqref="L44:M44">
    <x:cfRule type="expression" dxfId="996" priority="133">
      <x:formula>AND(ISNUMBER(L44),L44&gt;=1)</x:formula>
    </x:cfRule>
    <x:cfRule type="expression" dxfId="997" priority="134">
      <x:formula>AND(ISNUMBER(L44),L44&gt;=0.8,L44&lt;1)</x:formula>
    </x:cfRule>
    <x:cfRule type="expression" dxfId="998" priority="135">
      <x:formula>AND(ISNUMBER(L44),L44&lt;0.8)</x:formula>
    </x:cfRule>
  </x:conditionalFormatting>
  <x:conditionalFormatting sqref="N44:P44">
    <x:cfRule type="expression" dxfId="999" priority="136">
      <x:formula>N44="CUMPLIDO"</x:formula>
    </x:cfRule>
    <x:cfRule type="expression" dxfId="1000" priority="137">
      <x:formula>N44="EN RIESGO"</x:formula>
    </x:cfRule>
    <x:cfRule type="expression" dxfId="1001" priority="138">
      <x:formula>N44="CRÍTICO"</x:formula>
    </x:cfRule>
  </x:conditionalFormatting>
  <x:conditionalFormatting sqref="L45:M45">
    <x:cfRule type="expression" dxfId="1002" priority="139">
      <x:formula>AND(ISNUMBER(L45),L45&gt;=1)</x:formula>
    </x:cfRule>
    <x:cfRule type="expression" dxfId="1003" priority="140">
      <x:formula>AND(ISNUMBER(L45),L45&gt;=0.8,L45&lt;1)</x:formula>
    </x:cfRule>
    <x:cfRule type="expression" dxfId="1004" priority="141">
      <x:formula>AND(ISNUMBER(L45),L45&lt;0.8)</x:formula>
    </x:cfRule>
  </x:conditionalFormatting>
  <x:conditionalFormatting sqref="N45:P45">
    <x:cfRule type="expression" dxfId="1005" priority="142">
      <x:formula>N45="CUMPLIDO"</x:formula>
    </x:cfRule>
    <x:cfRule type="expression" dxfId="1006" priority="143">
      <x:formula>N45="EN RIESGO"</x:formula>
    </x:cfRule>
    <x:cfRule type="expression" dxfId="1007" priority="144">
      <x:formula>N45="CRÍTICO"</x:formula>
    </x:cfRule>
  </x:conditionalFormatting>
  <x:conditionalFormatting sqref="L46:M46">
    <x:cfRule type="expression" dxfId="1008" priority="145">
      <x:formula>AND(ISNUMBER(L46),L46&gt;=1)</x:formula>
    </x:cfRule>
    <x:cfRule type="expression" dxfId="1009" priority="146">
      <x:formula>AND(ISNUMBER(L46),L46&gt;=0.8,L46&lt;1)</x:formula>
    </x:cfRule>
    <x:cfRule type="expression" dxfId="1010" priority="147">
      <x:formula>AND(ISNUMBER(L46),L46&lt;0.8)</x:formula>
    </x:cfRule>
  </x:conditionalFormatting>
  <x:conditionalFormatting sqref="N46:P46">
    <x:cfRule type="expression" dxfId="1011" priority="148">
      <x:formula>N46="CUMPLIDO"</x:formula>
    </x:cfRule>
    <x:cfRule type="expression" dxfId="1012" priority="149">
      <x:formula>N46="EN RIESGO"</x:formula>
    </x:cfRule>
    <x:cfRule type="expression" dxfId="1013" priority="150">
      <x:formula>N46="CRÍTICO"</x:formula>
    </x:cfRule>
  </x:conditionalFormatting>
  <x:conditionalFormatting sqref="L47:M47">
    <x:cfRule type="expression" dxfId="1014" priority="151">
      <x:formula>AND(ISNUMBER(L47),L47&gt;=1)</x:formula>
    </x:cfRule>
    <x:cfRule type="expression" dxfId="1015" priority="152">
      <x:formula>AND(ISNUMBER(L47),L47&gt;=0.8,L47&lt;1)</x:formula>
    </x:cfRule>
    <x:cfRule type="expression" dxfId="1016" priority="153">
      <x:formula>AND(ISNUMBER(L47),L47&lt;0.8)</x:formula>
    </x:cfRule>
  </x:conditionalFormatting>
  <x:conditionalFormatting sqref="N47:P47">
    <x:cfRule type="expression" dxfId="1017" priority="154">
      <x:formula>N47="CUMPLIDO"</x:formula>
    </x:cfRule>
    <x:cfRule type="expression" dxfId="1018" priority="155">
      <x:formula>N47="EN RIESGO"</x:formula>
    </x:cfRule>
    <x:cfRule type="expression" dxfId="1019" priority="156">
      <x:formula>N47="CRÍTICO"</x:formula>
    </x:cfRule>
  </x:conditionalFormatting>
  <x:conditionalFormatting sqref="L48:M48">
    <x:cfRule type="expression" dxfId="1020" priority="157">
      <x:formula>AND(ISNUMBER(L48),L48&gt;=1)</x:formula>
    </x:cfRule>
    <x:cfRule type="expression" dxfId="1021" priority="158">
      <x:formula>AND(ISNUMBER(L48),L48&gt;=0.8,L48&lt;1)</x:formula>
    </x:cfRule>
    <x:cfRule type="expression" dxfId="1022" priority="159">
      <x:formula>AND(ISNUMBER(L48),L48&lt;0.8)</x:formula>
    </x:cfRule>
  </x:conditionalFormatting>
  <x:conditionalFormatting sqref="N48:P48">
    <x:cfRule type="expression" dxfId="1023" priority="160">
      <x:formula>N48="CUMPLIDO"</x:formula>
    </x:cfRule>
    <x:cfRule type="expression" dxfId="1024" priority="161">
      <x:formula>N48="EN RIESGO"</x:formula>
    </x:cfRule>
    <x:cfRule type="expression" dxfId="1025" priority="162">
      <x:formula>N48="CRÍTICO"</x:formula>
    </x:cfRule>
  </x:conditionalFormatting>
  <x:conditionalFormatting sqref="L49:M49">
    <x:cfRule type="expression" dxfId="1026" priority="163">
      <x:formula>AND(ISNUMBER(L49),L49&gt;=1)</x:formula>
    </x:cfRule>
    <x:cfRule type="expression" dxfId="1027" priority="164">
      <x:formula>AND(ISNUMBER(L49),L49&gt;=0.8,L49&lt;1)</x:formula>
    </x:cfRule>
    <x:cfRule type="expression" dxfId="1028" priority="165">
      <x:formula>AND(ISNUMBER(L49),L49&lt;0.8)</x:formula>
    </x:cfRule>
  </x:conditionalFormatting>
  <x:conditionalFormatting sqref="N49:P49">
    <x:cfRule type="expression" dxfId="1029" priority="166">
      <x:formula>N49="CUMPLIDO"</x:formula>
    </x:cfRule>
    <x:cfRule type="expression" dxfId="1030" priority="167">
      <x:formula>N49="EN RIESGO"</x:formula>
    </x:cfRule>
    <x:cfRule type="expression" dxfId="1031" priority="168">
      <x:formula>N49="CRÍTICO"</x:formula>
    </x:cfRule>
  </x:conditionalFormatting>
  <x:conditionalFormatting sqref="L50:M50">
    <x:cfRule type="expression" dxfId="1032" priority="169">
      <x:formula>AND(ISNUMBER(L50),L50&gt;=1)</x:formula>
    </x:cfRule>
    <x:cfRule type="expression" dxfId="1033" priority="170">
      <x:formula>AND(ISNUMBER(L50),L50&gt;=0.8,L50&lt;1)</x:formula>
    </x:cfRule>
    <x:cfRule type="expression" dxfId="1034" priority="171">
      <x:formula>AND(ISNUMBER(L50),L50&lt;0.8)</x:formula>
    </x:cfRule>
  </x:conditionalFormatting>
  <x:conditionalFormatting sqref="N50:P50">
    <x:cfRule type="expression" dxfId="1035" priority="172">
      <x:formula>N50="CUMPLIDO"</x:formula>
    </x:cfRule>
    <x:cfRule type="expression" dxfId="1036" priority="173">
      <x:formula>N50="EN RIESGO"</x:formula>
    </x:cfRule>
    <x:cfRule type="expression" dxfId="1037" priority="174">
      <x:formula>N50="CRÍTICO"</x:formula>
    </x:cfRule>
  </x:conditionalFormatting>
  <x:conditionalFormatting sqref="L51:M51">
    <x:cfRule type="expression" dxfId="1038" priority="175">
      <x:formula>AND(ISNUMBER(L51),L51&gt;=1)</x:formula>
    </x:cfRule>
    <x:cfRule type="expression" dxfId="1039" priority="176">
      <x:formula>AND(ISNUMBER(L51),L51&gt;=0.8,L51&lt;1)</x:formula>
    </x:cfRule>
    <x:cfRule type="expression" dxfId="1040" priority="177">
      <x:formula>AND(ISNUMBER(L51),L51&lt;0.8)</x:formula>
    </x:cfRule>
  </x:conditionalFormatting>
  <x:conditionalFormatting sqref="N51:P51">
    <x:cfRule type="expression" dxfId="1041" priority="178">
      <x:formula>N51="CUMPLIDO"</x:formula>
    </x:cfRule>
    <x:cfRule type="expression" dxfId="1042" priority="179">
      <x:formula>N51="EN RIESGO"</x:formula>
    </x:cfRule>
    <x:cfRule type="expression" dxfId="1043" priority="180">
      <x:formula>N51="CRÍTICO"</x:formula>
    </x:cfRule>
  </x:conditionalFormatting>
  <x:conditionalFormatting sqref="L52:M52">
    <x:cfRule type="expression" dxfId="1044" priority="181">
      <x:formula>AND(ISNUMBER(L52),L52&gt;=1)</x:formula>
    </x:cfRule>
    <x:cfRule type="expression" dxfId="1045" priority="182">
      <x:formula>AND(ISNUMBER(L52),L52&gt;=0.8,L52&lt;1)</x:formula>
    </x:cfRule>
    <x:cfRule type="expression" dxfId="1046" priority="183">
      <x:formula>AND(ISNUMBER(L52),L52&lt;0.8)</x:formula>
    </x:cfRule>
  </x:conditionalFormatting>
  <x:conditionalFormatting sqref="N52:P52">
    <x:cfRule type="expression" dxfId="1047" priority="184">
      <x:formula>N52="CUMPLIDO"</x:formula>
    </x:cfRule>
    <x:cfRule type="expression" dxfId="1048" priority="185">
      <x:formula>N52="EN RIESGO"</x:formula>
    </x:cfRule>
    <x:cfRule type="expression" dxfId="1049" priority="186">
      <x:formula>N52="CRÍTICO"</x:formula>
    </x:cfRule>
  </x:conditionalFormatting>
  <x:conditionalFormatting sqref="L53:M53">
    <x:cfRule type="expression" dxfId="1050" priority="187">
      <x:formula>AND(ISNUMBER(L53),L53&gt;=1)</x:formula>
    </x:cfRule>
    <x:cfRule type="expression" dxfId="1051" priority="188">
      <x:formula>AND(ISNUMBER(L53),L53&gt;=0.8,L53&lt;1)</x:formula>
    </x:cfRule>
    <x:cfRule type="expression" dxfId="1052" priority="189">
      <x:formula>AND(ISNUMBER(L53),L53&lt;0.8)</x:formula>
    </x:cfRule>
  </x:conditionalFormatting>
  <x:conditionalFormatting sqref="N53:P53">
    <x:cfRule type="expression" dxfId="1053" priority="190">
      <x:formula>N53="CUMPLIDO"</x:formula>
    </x:cfRule>
    <x:cfRule type="expression" dxfId="1054" priority="191">
      <x:formula>N53="EN RIESGO"</x:formula>
    </x:cfRule>
    <x:cfRule type="expression" dxfId="1055" priority="192">
      <x:formula>N53="CRÍTICO"</x:formula>
    </x:cfRule>
  </x:conditionalFormatting>
  <x:conditionalFormatting sqref="L54:M54">
    <x:cfRule type="expression" dxfId="1056" priority="193">
      <x:formula>AND(ISNUMBER(L54),L54&gt;=1)</x:formula>
    </x:cfRule>
    <x:cfRule type="expression" dxfId="1057" priority="194">
      <x:formula>AND(ISNUMBER(L54),L54&gt;=0.8,L54&lt;1)</x:formula>
    </x:cfRule>
    <x:cfRule type="expression" dxfId="1058" priority="195">
      <x:formula>AND(ISNUMBER(L54),L54&lt;0.8)</x:formula>
    </x:cfRule>
  </x:conditionalFormatting>
  <x:conditionalFormatting sqref="N54:P54">
    <x:cfRule type="expression" dxfId="1059" priority="196">
      <x:formula>N54="CUMPLIDO"</x:formula>
    </x:cfRule>
    <x:cfRule type="expression" dxfId="1060" priority="197">
      <x:formula>N54="EN RIESGO"</x:formula>
    </x:cfRule>
    <x:cfRule type="expression" dxfId="1061" priority="198">
      <x:formula>N54="CRÍTICO"</x:formula>
    </x:cfRule>
  </x:conditionalFormatting>
  <x:conditionalFormatting sqref="L55:M55">
    <x:cfRule type="expression" dxfId="1062" priority="199">
      <x:formula>AND(ISNUMBER(L55),L55&gt;=1)</x:formula>
    </x:cfRule>
    <x:cfRule type="expression" dxfId="1063" priority="200">
      <x:formula>AND(ISNUMBER(L55),L55&gt;=0.8,L55&lt;1)</x:formula>
    </x:cfRule>
    <x:cfRule type="expression" dxfId="1064" priority="201">
      <x:formula>AND(ISNUMBER(L55),L55&lt;0.8)</x:formula>
    </x:cfRule>
  </x:conditionalFormatting>
  <x:conditionalFormatting sqref="N55:P55">
    <x:cfRule type="expression" dxfId="1065" priority="202">
      <x:formula>N55="CUMPLIDO"</x:formula>
    </x:cfRule>
    <x:cfRule type="expression" dxfId="1066" priority="203">
      <x:formula>N55="EN RIESGO"</x:formula>
    </x:cfRule>
    <x:cfRule type="expression" dxfId="1067" priority="204">
      <x:formula>N55="CRÍTICO"</x:formula>
    </x:cfRule>
  </x:conditionalFormatting>
  <x:conditionalFormatting sqref="L56:M56">
    <x:cfRule type="expression" dxfId="1068" priority="205">
      <x:formula>AND(ISNUMBER(L56),L56&gt;=1)</x:formula>
    </x:cfRule>
    <x:cfRule type="expression" dxfId="1069" priority="206">
      <x:formula>AND(ISNUMBER(L56),L56&gt;=0.8,L56&lt;1)</x:formula>
    </x:cfRule>
    <x:cfRule type="expression" dxfId="1070" priority="207">
      <x:formula>AND(ISNUMBER(L56),L56&lt;0.8)</x:formula>
    </x:cfRule>
  </x:conditionalFormatting>
  <x:conditionalFormatting sqref="N56:P56">
    <x:cfRule type="expression" dxfId="1071" priority="208">
      <x:formula>N56="CUMPLIDO"</x:formula>
    </x:cfRule>
    <x:cfRule type="expression" dxfId="1072" priority="209">
      <x:formula>N56="EN RIESGO"</x:formula>
    </x:cfRule>
    <x:cfRule type="expression" dxfId="1073" priority="210">
      <x:formula>N56="CRÍTICO"</x:formula>
    </x:cfRule>
  </x:conditionalFormatting>
  <x:conditionalFormatting sqref="L57:M57">
    <x:cfRule type="expression" dxfId="1074" priority="211">
      <x:formula>AND(ISNUMBER(L57),L57&gt;=1)</x:formula>
    </x:cfRule>
    <x:cfRule type="expression" dxfId="1075" priority="212">
      <x:formula>AND(ISNUMBER(L57),L57&gt;=0.8,L57&lt;1)</x:formula>
    </x:cfRule>
    <x:cfRule type="expression" dxfId="1076" priority="213">
      <x:formula>AND(ISNUMBER(L57),L57&lt;0.8)</x:formula>
    </x:cfRule>
  </x:conditionalFormatting>
  <x:conditionalFormatting sqref="N57:P57">
    <x:cfRule type="expression" dxfId="1077" priority="214">
      <x:formula>N57="CUMPLIDO"</x:formula>
    </x:cfRule>
    <x:cfRule type="expression" dxfId="1078" priority="215">
      <x:formula>N57="EN RIESGO"</x:formula>
    </x:cfRule>
    <x:cfRule type="expression" dxfId="1079" priority="216">
      <x:formula>N57="CRÍTICO"</x:formula>
    </x:cfRule>
  </x:conditionalFormatting>
  <x:conditionalFormatting sqref="L58:M58">
    <x:cfRule type="expression" dxfId="1080" priority="217">
      <x:formula>AND(ISNUMBER(L58),L58&gt;=1)</x:formula>
    </x:cfRule>
    <x:cfRule type="expression" dxfId="1081" priority="218">
      <x:formula>AND(ISNUMBER(L58),L58&gt;=0.8,L58&lt;1)</x:formula>
    </x:cfRule>
    <x:cfRule type="expression" dxfId="1082" priority="219">
      <x:formula>AND(ISNUMBER(L58),L58&lt;0.8)</x:formula>
    </x:cfRule>
  </x:conditionalFormatting>
  <x:conditionalFormatting sqref="N58:P58">
    <x:cfRule type="expression" dxfId="1083" priority="220">
      <x:formula>N58="CUMPLIDO"</x:formula>
    </x:cfRule>
    <x:cfRule type="expression" dxfId="1084" priority="221">
      <x:formula>N58="EN RIESGO"</x:formula>
    </x:cfRule>
    <x:cfRule type="expression" dxfId="1085" priority="222">
      <x:formula>N58="CRÍTICO"</x:formula>
    </x:cfRule>
  </x:conditionalFormatting>
  <x:conditionalFormatting sqref="L59:M59">
    <x:cfRule type="expression" dxfId="1086" priority="223">
      <x:formula>AND(ISNUMBER(L59),L59&gt;=1)</x:formula>
    </x:cfRule>
    <x:cfRule type="expression" dxfId="1087" priority="224">
      <x:formula>AND(ISNUMBER(L59),L59&gt;=0.8,L59&lt;1)</x:formula>
    </x:cfRule>
    <x:cfRule type="expression" dxfId="1088" priority="225">
      <x:formula>AND(ISNUMBER(L59),L59&lt;0.8)</x:formula>
    </x:cfRule>
  </x:conditionalFormatting>
  <x:conditionalFormatting sqref="N59:P59">
    <x:cfRule type="expression" dxfId="1089" priority="226">
      <x:formula>N59="CUMPLIDO"</x:formula>
    </x:cfRule>
    <x:cfRule type="expression" dxfId="1090" priority="227">
      <x:formula>N59="EN RIESGO"</x:formula>
    </x:cfRule>
    <x:cfRule type="expression" dxfId="1091" priority="228">
      <x:formula>N59="CRÍTICO"</x:formula>
    </x:cfRule>
  </x:conditionalFormatting>
  <x:conditionalFormatting sqref="L60:M60">
    <x:cfRule type="expression" dxfId="1092" priority="229">
      <x:formula>AND(ISNUMBER(L60),L60&gt;=1)</x:formula>
    </x:cfRule>
    <x:cfRule type="expression" dxfId="1093" priority="230">
      <x:formula>AND(ISNUMBER(L60),L60&gt;=0.8,L60&lt;1)</x:formula>
    </x:cfRule>
    <x:cfRule type="expression" dxfId="1094" priority="231">
      <x:formula>AND(ISNUMBER(L60),L60&lt;0.8)</x:formula>
    </x:cfRule>
  </x:conditionalFormatting>
  <x:conditionalFormatting sqref="N60:P60">
    <x:cfRule type="expression" dxfId="1095" priority="232">
      <x:formula>N60="CUMPLIDO"</x:formula>
    </x:cfRule>
    <x:cfRule type="expression" dxfId="1096" priority="233">
      <x:formula>N60="EN RIESGO"</x:formula>
    </x:cfRule>
    <x:cfRule type="expression" dxfId="1097" priority="234">
      <x:formula>N60="CRÍTICO"</x:formula>
    </x:cfRule>
  </x:conditionalFormatting>
  <x:conditionalFormatting sqref="L61:M61">
    <x:cfRule type="expression" dxfId="1098" priority="235">
      <x:formula>AND(ISNUMBER(L61),L61&gt;=1)</x:formula>
    </x:cfRule>
    <x:cfRule type="expression" dxfId="1099" priority="236">
      <x:formula>AND(ISNUMBER(L61),L61&gt;=0.8,L61&lt;1)</x:formula>
    </x:cfRule>
    <x:cfRule type="expression" dxfId="1100" priority="237">
      <x:formula>AND(ISNUMBER(L61),L61&lt;0.8)</x:formula>
    </x:cfRule>
  </x:conditionalFormatting>
  <x:conditionalFormatting sqref="N61:P61">
    <x:cfRule type="expression" dxfId="1101" priority="238">
      <x:formula>N61="CUMPLIDO"</x:formula>
    </x:cfRule>
    <x:cfRule type="expression" dxfId="1102" priority="239">
      <x:formula>N61="EN RIESGO"</x:formula>
    </x:cfRule>
    <x:cfRule type="expression" dxfId="1103" priority="240">
      <x:formula>N61="CRÍTICO"</x:formula>
    </x:cfRule>
  </x:conditionalFormatting>
  <x:conditionalFormatting sqref="L62:M62">
    <x:cfRule type="expression" dxfId="1104" priority="241">
      <x:formula>AND(ISNUMBER(L62),L62&gt;=1)</x:formula>
    </x:cfRule>
    <x:cfRule type="expression" dxfId="1105" priority="242">
      <x:formula>AND(ISNUMBER(L62),L62&gt;=0.8,L62&lt;1)</x:formula>
    </x:cfRule>
    <x:cfRule type="expression" dxfId="1106" priority="243">
      <x:formula>AND(ISNUMBER(L62),L62&lt;0.8)</x:formula>
    </x:cfRule>
  </x:conditionalFormatting>
  <x:conditionalFormatting sqref="N62:P62">
    <x:cfRule type="expression" dxfId="1107" priority="244">
      <x:formula>N62="CUMPLIDO"</x:formula>
    </x:cfRule>
    <x:cfRule type="expression" dxfId="1108" priority="245">
      <x:formula>N62="EN RIESGO"</x:formula>
    </x:cfRule>
    <x:cfRule type="expression" dxfId="1109" priority="246">
      <x:formula>N62="CRÍTICO"</x:formula>
    </x:cfRule>
  </x:conditionalFormatting>
  <x:conditionalFormatting sqref="L63:M63">
    <x:cfRule type="expression" dxfId="1110" priority="247">
      <x:formula>AND(ISNUMBER(L63),L63&gt;=1)</x:formula>
    </x:cfRule>
    <x:cfRule type="expression" dxfId="1111" priority="248">
      <x:formula>AND(ISNUMBER(L63),L63&gt;=0.8,L63&lt;1)</x:formula>
    </x:cfRule>
    <x:cfRule type="expression" dxfId="1112" priority="249">
      <x:formula>AND(ISNUMBER(L63),L63&lt;0.8)</x:formula>
    </x:cfRule>
  </x:conditionalFormatting>
  <x:conditionalFormatting sqref="N63:P63">
    <x:cfRule type="expression" dxfId="1113" priority="250">
      <x:formula>N63="CUMPLIDO"</x:formula>
    </x:cfRule>
    <x:cfRule type="expression" dxfId="1114" priority="251">
      <x:formula>N63="EN RIESGO"</x:formula>
    </x:cfRule>
    <x:cfRule type="expression" dxfId="1115" priority="252">
      <x:formula>N63="CRÍTICO"</x:formula>
    </x:cfRule>
  </x:conditionalFormatting>
  <x:conditionalFormatting sqref="L64:M64">
    <x:cfRule type="expression" dxfId="1116" priority="253">
      <x:formula>AND(ISNUMBER(L64),L64&gt;=1)</x:formula>
    </x:cfRule>
    <x:cfRule type="expression" dxfId="1117" priority="254">
      <x:formula>AND(ISNUMBER(L64),L64&gt;=0.8,L64&lt;1)</x:formula>
    </x:cfRule>
    <x:cfRule type="expression" dxfId="1118" priority="255">
      <x:formula>AND(ISNUMBER(L64),L64&lt;0.8)</x:formula>
    </x:cfRule>
  </x:conditionalFormatting>
  <x:conditionalFormatting sqref="N64:P64">
    <x:cfRule type="expression" dxfId="1119" priority="256">
      <x:formula>N64="CUMPLIDO"</x:formula>
    </x:cfRule>
    <x:cfRule type="expression" dxfId="1120" priority="257">
      <x:formula>N64="EN RIESGO"</x:formula>
    </x:cfRule>
    <x:cfRule type="expression" dxfId="1121" priority="258">
      <x:formula>N64="CRÍTICO"</x:formula>
    </x:cfRule>
  </x:conditionalFormatting>
  <x:conditionalFormatting sqref="L65:M65">
    <x:cfRule type="expression" dxfId="1122" priority="259">
      <x:formula>AND(ISNUMBER(L65),L65&gt;=1)</x:formula>
    </x:cfRule>
    <x:cfRule type="expression" dxfId="1123" priority="260">
      <x:formula>AND(ISNUMBER(L65),L65&gt;=0.8,L65&lt;1)</x:formula>
    </x:cfRule>
    <x:cfRule type="expression" dxfId="1124" priority="261">
      <x:formula>AND(ISNUMBER(L65),L65&lt;0.8)</x:formula>
    </x:cfRule>
  </x:conditionalFormatting>
  <x:conditionalFormatting sqref="N65:P65">
    <x:cfRule type="expression" dxfId="1125" priority="262">
      <x:formula>N65="CUMPLIDO"</x:formula>
    </x:cfRule>
    <x:cfRule type="expression" dxfId="1126" priority="263">
      <x:formula>N65="EN RIESGO"</x:formula>
    </x:cfRule>
    <x:cfRule type="expression" dxfId="1127" priority="264">
      <x:formula>N65="CRÍTICO"</x:formula>
    </x:cfRule>
  </x:conditionalFormatting>
  <x:conditionalFormatting sqref="L66:M66">
    <x:cfRule type="expression" dxfId="1128" priority="265">
      <x:formula>AND(ISNUMBER(L66),L66&gt;=1)</x:formula>
    </x:cfRule>
    <x:cfRule type="expression" dxfId="1129" priority="266">
      <x:formula>AND(ISNUMBER(L66),L66&gt;=0.8,L66&lt;1)</x:formula>
    </x:cfRule>
    <x:cfRule type="expression" dxfId="1130" priority="267">
      <x:formula>AND(ISNUMBER(L66),L66&lt;0.8)</x:formula>
    </x:cfRule>
  </x:conditionalFormatting>
  <x:conditionalFormatting sqref="N66:P66">
    <x:cfRule type="expression" dxfId="1131" priority="268">
      <x:formula>N66="CUMPLIDO"</x:formula>
    </x:cfRule>
    <x:cfRule type="expression" dxfId="1132" priority="269">
      <x:formula>N66="EN RIESGO"</x:formula>
    </x:cfRule>
    <x:cfRule type="expression" dxfId="1133" priority="270">
      <x:formula>N66="CRÍTICO"</x:formula>
    </x:cfRule>
  </x:conditionalFormatting>
  <x:conditionalFormatting sqref="L67:M67">
    <x:cfRule type="expression" dxfId="1134" priority="271">
      <x:formula>AND(ISNUMBER(L67),L67&gt;=1)</x:formula>
    </x:cfRule>
    <x:cfRule type="expression" dxfId="1135" priority="272">
      <x:formula>AND(ISNUMBER(L67),L67&gt;=0.8,L67&lt;1)</x:formula>
    </x:cfRule>
    <x:cfRule type="expression" dxfId="1136" priority="273">
      <x:formula>AND(ISNUMBER(L67),L67&lt;0.8)</x:formula>
    </x:cfRule>
  </x:conditionalFormatting>
  <x:conditionalFormatting sqref="N67:P67">
    <x:cfRule type="expression" dxfId="1137" priority="274">
      <x:formula>N67="CUMPLIDO"</x:formula>
    </x:cfRule>
    <x:cfRule type="expression" dxfId="1138" priority="275">
      <x:formula>N67="EN RIESGO"</x:formula>
    </x:cfRule>
    <x:cfRule type="expression" dxfId="1139" priority="276">
      <x:formula>N67="CRÍTICO"</x:formula>
    </x:cfRule>
  </x:conditionalFormatting>
  <x:conditionalFormatting sqref="L68:M68">
    <x:cfRule type="expression" dxfId="1140" priority="277">
      <x:formula>AND(ISNUMBER(L68),L68&gt;=1)</x:formula>
    </x:cfRule>
    <x:cfRule type="expression" dxfId="1141" priority="278">
      <x:formula>AND(ISNUMBER(L68),L68&gt;=0.8,L68&lt;1)</x:formula>
    </x:cfRule>
    <x:cfRule type="expression" dxfId="1142" priority="279">
      <x:formula>AND(ISNUMBER(L68),L68&lt;0.8)</x:formula>
    </x:cfRule>
  </x:conditionalFormatting>
  <x:conditionalFormatting sqref="N68:P68">
    <x:cfRule type="expression" dxfId="1143" priority="280">
      <x:formula>N68="CUMPLIDO"</x:formula>
    </x:cfRule>
    <x:cfRule type="expression" dxfId="1144" priority="281">
      <x:formula>N68="EN RIESGO"</x:formula>
    </x:cfRule>
    <x:cfRule type="expression" dxfId="1145" priority="282">
      <x:formula>N68="CRÍTICO"</x:formula>
    </x:cfRule>
  </x:conditionalFormatting>
  <x:conditionalFormatting sqref="L69:M69">
    <x:cfRule type="expression" dxfId="1146" priority="283">
      <x:formula>AND(ISNUMBER(L69),L69&gt;=1)</x:formula>
    </x:cfRule>
    <x:cfRule type="expression" dxfId="1147" priority="284">
      <x:formula>AND(ISNUMBER(L69),L69&gt;=0.8,L69&lt;1)</x:formula>
    </x:cfRule>
    <x:cfRule type="expression" dxfId="1148" priority="285">
      <x:formula>AND(ISNUMBER(L69),L69&lt;0.8)</x:formula>
    </x:cfRule>
  </x:conditionalFormatting>
  <x:conditionalFormatting sqref="N69:P69">
    <x:cfRule type="expression" dxfId="1149" priority="286">
      <x:formula>N69="CUMPLIDO"</x:formula>
    </x:cfRule>
    <x:cfRule type="expression" dxfId="1150" priority="287">
      <x:formula>N69="EN RIESGO"</x:formula>
    </x:cfRule>
    <x:cfRule type="expression" dxfId="1151" priority="288">
      <x:formula>N69="CRÍTICO"</x:formula>
    </x:cfRule>
  </x:conditionalFormatting>
  <x:conditionalFormatting sqref="L70:M70">
    <x:cfRule type="expression" dxfId="1152" priority="289">
      <x:formula>AND(ISNUMBER(L70),L70&gt;=1)</x:formula>
    </x:cfRule>
    <x:cfRule type="expression" dxfId="1153" priority="290">
      <x:formula>AND(ISNUMBER(L70),L70&gt;=0.8,L70&lt;1)</x:formula>
    </x:cfRule>
    <x:cfRule type="expression" dxfId="1154" priority="291">
      <x:formula>AND(ISNUMBER(L70),L70&lt;0.8)</x:formula>
    </x:cfRule>
  </x:conditionalFormatting>
  <x:conditionalFormatting sqref="N70:P70">
    <x:cfRule type="expression" dxfId="1155" priority="292">
      <x:formula>N70="CUMPLIDO"</x:formula>
    </x:cfRule>
    <x:cfRule type="expression" dxfId="1156" priority="293">
      <x:formula>N70="EN RIESGO"</x:formula>
    </x:cfRule>
    <x:cfRule type="expression" dxfId="1157" priority="294">
      <x:formula>N70="CRÍTICO"</x:formula>
    </x:cfRule>
  </x:conditionalFormatting>
  <x:conditionalFormatting sqref="L71:M71">
    <x:cfRule type="expression" dxfId="1158" priority="295">
      <x:formula>AND(ISNUMBER(L71),L71&gt;=1)</x:formula>
    </x:cfRule>
    <x:cfRule type="expression" dxfId="1159" priority="296">
      <x:formula>AND(ISNUMBER(L71),L71&gt;=0.8,L71&lt;1)</x:formula>
    </x:cfRule>
    <x:cfRule type="expression" dxfId="1160" priority="297">
      <x:formula>AND(ISNUMBER(L71),L71&lt;0.8)</x:formula>
    </x:cfRule>
  </x:conditionalFormatting>
  <x:conditionalFormatting sqref="N71:P71">
    <x:cfRule type="expression" dxfId="1161" priority="298">
      <x:formula>N71="CUMPLIDO"</x:formula>
    </x:cfRule>
    <x:cfRule type="expression" dxfId="1162" priority="299">
      <x:formula>N71="EN RIESGO"</x:formula>
    </x:cfRule>
    <x:cfRule type="expression" dxfId="1163" priority="300">
      <x:formula>N71="CRÍTICO"</x:formula>
    </x:cfRule>
  </x:conditionalFormatting>
  <x:conditionalFormatting sqref="L72:M72">
    <x:cfRule type="expression" dxfId="1164" priority="301">
      <x:formula>AND(ISNUMBER(L72),L72&gt;=1)</x:formula>
    </x:cfRule>
    <x:cfRule type="expression" dxfId="1165" priority="302">
      <x:formula>AND(ISNUMBER(L72),L72&gt;=0.8,L72&lt;1)</x:formula>
    </x:cfRule>
    <x:cfRule type="expression" dxfId="1166" priority="303">
      <x:formula>AND(ISNUMBER(L72),L72&lt;0.8)</x:formula>
    </x:cfRule>
  </x:conditionalFormatting>
  <x:conditionalFormatting sqref="N72:P72">
    <x:cfRule type="expression" dxfId="1167" priority="304">
      <x:formula>N72="CUMPLIDO"</x:formula>
    </x:cfRule>
    <x:cfRule type="expression" dxfId="1168" priority="305">
      <x:formula>N72="EN RIESGO"</x:formula>
    </x:cfRule>
    <x:cfRule type="expression" dxfId="1169" priority="306">
      <x:formula>N72="CRÍTICO"</x:formula>
    </x:cfRule>
  </x:conditionalFormatting>
  <x:conditionalFormatting sqref="L73:M73">
    <x:cfRule type="expression" dxfId="1170" priority="307">
      <x:formula>AND(ISNUMBER(L73),L73&gt;=1)</x:formula>
    </x:cfRule>
    <x:cfRule type="expression" dxfId="1171" priority="308">
      <x:formula>AND(ISNUMBER(L73),L73&gt;=0.8,L73&lt;1)</x:formula>
    </x:cfRule>
    <x:cfRule type="expression" dxfId="1172" priority="309">
      <x:formula>AND(ISNUMBER(L73),L73&lt;0.8)</x:formula>
    </x:cfRule>
  </x:conditionalFormatting>
  <x:conditionalFormatting sqref="N73:P73">
    <x:cfRule type="expression" dxfId="1173" priority="310">
      <x:formula>N73="CUMPLIDO"</x:formula>
    </x:cfRule>
    <x:cfRule type="expression" dxfId="1174" priority="311">
      <x:formula>N73="EN RIESGO"</x:formula>
    </x:cfRule>
    <x:cfRule type="expression" dxfId="1175" priority="312">
      <x:formula>N73="CRÍTICO"</x:formula>
    </x:cfRule>
  </x:conditionalFormatting>
  <x:conditionalFormatting sqref="L74:M74">
    <x:cfRule type="expression" dxfId="1176" priority="313">
      <x:formula>AND(ISNUMBER(L74),L74&gt;=1)</x:formula>
    </x:cfRule>
    <x:cfRule type="expression" dxfId="1177" priority="314">
      <x:formula>AND(ISNUMBER(L74),L74&gt;=0.8,L74&lt;1)</x:formula>
    </x:cfRule>
    <x:cfRule type="expression" dxfId="1178" priority="315">
      <x:formula>AND(ISNUMBER(L74),L74&lt;0.8)</x:formula>
    </x:cfRule>
  </x:conditionalFormatting>
  <x:conditionalFormatting sqref="N74:P74">
    <x:cfRule type="expression" dxfId="1179" priority="316">
      <x:formula>N74="CUMPLIDO"</x:formula>
    </x:cfRule>
    <x:cfRule type="expression" dxfId="1180" priority="317">
      <x:formula>N74="EN RIESGO"</x:formula>
    </x:cfRule>
    <x:cfRule type="expression" dxfId="1181" priority="318">
      <x:formula>N74="CRÍTICO"</x:formula>
    </x:cfRule>
  </x:conditionalFormatting>
  <x:pageMargins left="0.7" right="0.7" top="0.75" bottom="0.75" header="0.3" footer="0.3"/>
  <x:drawing xmlns:r="http://schemas.openxmlformats.org/officeDocument/2006/relationships" r:id="R6650111cc4604076"/>
</x:worksheet>
</file>